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sael\Desktop\Strand 1\19 Leaked sample data teaser\"/>
    </mc:Choice>
  </mc:AlternateContent>
  <xr:revisionPtr revIDLastSave="0" documentId="13_ncr:1_{10D099CF-9F9C-473A-929C-C6FA8C67885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hart of Accounts" sheetId="1" r:id="rId1"/>
    <sheet name="GL Transactions Q2" sheetId="2" r:id="rId2"/>
    <sheet name="Trial Balance Summary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7" i="3" l="1"/>
  <c r="C17" i="3"/>
  <c r="D16" i="3"/>
  <c r="C16" i="3"/>
  <c r="D15" i="3"/>
  <c r="C15" i="3"/>
  <c r="D14" i="3"/>
  <c r="C14" i="3"/>
  <c r="D13" i="3"/>
  <c r="C13" i="3"/>
  <c r="D12" i="3"/>
  <c r="C12" i="3"/>
  <c r="D11" i="3"/>
  <c r="C11" i="3"/>
  <c r="D10" i="3"/>
  <c r="C10" i="3"/>
  <c r="D9" i="3"/>
  <c r="C9" i="3"/>
  <c r="D8" i="3"/>
  <c r="C8" i="3"/>
  <c r="D7" i="3"/>
  <c r="C7" i="3"/>
  <c r="D6" i="3"/>
  <c r="C6" i="3"/>
  <c r="D5" i="3"/>
  <c r="D18" i="3" s="1"/>
  <c r="C5" i="3"/>
  <c r="C18" i="3" s="1"/>
  <c r="C20" i="3" s="1"/>
  <c r="I31" i="2"/>
  <c r="H31" i="2"/>
</calcChain>
</file>

<file path=xl/sharedStrings.xml><?xml version="1.0" encoding="utf-8"?>
<sst xmlns="http://schemas.openxmlformats.org/spreadsheetml/2006/main" count="299" uniqueCount="156">
  <si>
    <t>CONFIDENTIAL — Finance-Archive\staging — Internal use only. Company Reg. 915501328 — NEXA House, Victoria Island, Lagos</t>
  </si>
  <si>
    <t>Account Code</t>
  </si>
  <si>
    <t>Account Name</t>
  </si>
  <si>
    <t>Account Type</t>
  </si>
  <si>
    <t>4000</t>
  </si>
  <si>
    <t>Revenue — Enterprise Contracts</t>
  </si>
  <si>
    <t>Revenue</t>
  </si>
  <si>
    <t>4010</t>
  </si>
  <si>
    <t>Revenue — Consumer Broadband</t>
  </si>
  <si>
    <t>5000</t>
  </si>
  <si>
    <t>Cost of Sales — Network Operations</t>
  </si>
  <si>
    <t>Expense</t>
  </si>
  <si>
    <t>6000</t>
  </si>
  <si>
    <t>Payroll &amp; Employee Costs</t>
  </si>
  <si>
    <t>6100</t>
  </si>
  <si>
    <t>Professional &amp; Legal Fees</t>
  </si>
  <si>
    <t>6200</t>
  </si>
  <si>
    <t>Vendor &amp; Contractor Payments</t>
  </si>
  <si>
    <t>6300</t>
  </si>
  <si>
    <t>Facilities &amp; Utilities</t>
  </si>
  <si>
    <t>7000</t>
  </si>
  <si>
    <t>Capital Expenditure — Network</t>
  </si>
  <si>
    <t>Asset</t>
  </si>
  <si>
    <t>7100</t>
  </si>
  <si>
    <t>Capital Expenditure — Property</t>
  </si>
  <si>
    <t>1000</t>
  </si>
  <si>
    <t>Bank — Operating Account (GBP)</t>
  </si>
  <si>
    <t>1010</t>
  </si>
  <si>
    <t>Bank — Operating Account (NGN)</t>
  </si>
  <si>
    <t>2000</t>
  </si>
  <si>
    <t>Accounts Payable</t>
  </si>
  <si>
    <t>Liability</t>
  </si>
  <si>
    <t>2100</t>
  </si>
  <si>
    <t>Accounts Receivable</t>
  </si>
  <si>
    <t>Consolidated General Ledger Export — Q2 2026 (Apr–Jun)</t>
  </si>
  <si>
    <t>Txn ID</t>
  </si>
  <si>
    <t>Date</t>
  </si>
  <si>
    <t>Cost Centre</t>
  </si>
  <si>
    <t>Description</t>
  </si>
  <si>
    <t>Counterparty / Reference</t>
  </si>
  <si>
    <t>Debit (GBP)</t>
  </si>
  <si>
    <t>Credit (GBP)</t>
  </si>
  <si>
    <t>Entered By</t>
  </si>
  <si>
    <t>GL-Q2-00114</t>
  </si>
  <si>
    <t>2026-04-03</t>
  </si>
  <si>
    <t>HR-Records\Payroll</t>
  </si>
  <si>
    <t>April payroll run — all departments</t>
  </si>
  <si>
    <t>See payroll_extract_july.xlsx for July equivalent</t>
  </si>
  <si>
    <t>Sarah Whitfield</t>
  </si>
  <si>
    <t>GL-Q2-00115</t>
  </si>
  <si>
    <t>Finance</t>
  </si>
  <si>
    <t>April payroll disbursement</t>
  </si>
  <si>
    <t>BACS batch NX-PAY-2026-04</t>
  </si>
  <si>
    <t>GL-Q2-00128</t>
  </si>
  <si>
    <t>2026-04-11</t>
  </si>
  <si>
    <t>Legal\Contracts</t>
  </si>
  <si>
    <t>Ridgeline Fibre Contractors — civil works Q2 milestone 1</t>
  </si>
  <si>
    <t>PO NX-PO-2026-0512 / NDA NX-VND-NDA-2026-0146</t>
  </si>
  <si>
    <t>Chidi Eze</t>
  </si>
  <si>
    <t>GL-Q2-00129</t>
  </si>
  <si>
    <t>Payment to Ridgeline Fibre Contractors Ltd</t>
  </si>
  <si>
    <t>Bank transfer ref RFC-Q2-01</t>
  </si>
  <si>
    <t>Michael Bamgbose</t>
  </si>
  <si>
    <t>GL-Q2-00142</t>
  </si>
  <si>
    <t>2026-04-22</t>
  </si>
  <si>
    <t>Sales\AccountPlans</t>
  </si>
  <si>
    <t>Westgate Financial Services — Q2 service fee</t>
  </si>
  <si>
    <t>Account NX-ACC-3428</t>
  </si>
  <si>
    <t>Ifeoma Chukwu</t>
  </si>
  <si>
    <t>GL-Q2-00143</t>
  </si>
  <si>
    <t>Westgate Financial Services — Q2 invoice raised</t>
  </si>
  <si>
    <t>GL-Q2-00156</t>
  </si>
  <si>
    <t>2026-05-02</t>
  </si>
  <si>
    <t>Engineering\CoreNetwork</t>
  </si>
  <si>
    <t>Ericsson — core equipment service contract</t>
  </si>
  <si>
    <t>See invoice_vendor_ericsson_svc.pdf</t>
  </si>
  <si>
    <t>GL-Q2-00157</t>
  </si>
  <si>
    <t>Payment to Ericsson Nigeria Ltd</t>
  </si>
  <si>
    <t>Bank transfer ref ERI-Q2-04</t>
  </si>
  <si>
    <t>GL-Q2-00168</t>
  </si>
  <si>
    <t>2026-05-09</t>
  </si>
  <si>
    <t>May payroll run — all departments</t>
  </si>
  <si>
    <t>GL-Q2-00169</t>
  </si>
  <si>
    <t>May payroll disbursement</t>
  </si>
  <si>
    <t>BACS batch NX-PAY-2026-05</t>
  </si>
  <si>
    <t>GL-Q2-00174</t>
  </si>
  <si>
    <t>2026-05-14</t>
  </si>
  <si>
    <t>Northbank Insurance Group — Q2 service fee</t>
  </si>
  <si>
    <t>Account NX-ACC-3369</t>
  </si>
  <si>
    <t>GL-Q2-00175</t>
  </si>
  <si>
    <t>Northbank Insurance Group — Q2 invoice raised</t>
  </si>
  <si>
    <t>GL-Q2-00181</t>
  </si>
  <si>
    <t>2026-05-19</t>
  </si>
  <si>
    <t>Core routing frame upgrade — Victoria Island</t>
  </si>
  <si>
    <t>See capex_forecast_2026.xlsx, Network tab</t>
  </si>
  <si>
    <t>Adaeze Okonkwo</t>
  </si>
  <si>
    <t>GL-Q2-00182</t>
  </si>
  <si>
    <t>Core routing frame upgrade — accrual</t>
  </si>
  <si>
    <t>PO NX-PO-2026-0498</t>
  </si>
  <si>
    <t>GL-Q2-00196</t>
  </si>
  <si>
    <t>2026-05-27</t>
  </si>
  <si>
    <t>Legal\Compliance</t>
  </si>
  <si>
    <t>External counsel — DPIA remediation review</t>
  </si>
  <si>
    <t>See gdpr_dpia_customer_portal.docx</t>
  </si>
  <si>
    <t>GL-Q2-00197</t>
  </si>
  <si>
    <t>Payment to external counsel</t>
  </si>
  <si>
    <t>Bank transfer ref LEG-Q2-02</t>
  </si>
  <si>
    <t>GL-Q2-00205</t>
  </si>
  <si>
    <t>2026-06-04</t>
  </si>
  <si>
    <t>Engineering\FieldMaintenance</t>
  </si>
  <si>
    <t>Standby generator maintenance — Q2 contract</t>
  </si>
  <si>
    <t>See generator_maintenance_schedule.xlsx</t>
  </si>
  <si>
    <t>GL-Q2-00206</t>
  </si>
  <si>
    <t>Payment for generator maintenance</t>
  </si>
  <si>
    <t>Bank transfer ref FAC-Q2-03</t>
  </si>
  <si>
    <t>GL-Q2-00212</t>
  </si>
  <si>
    <t>2026-06-09</t>
  </si>
  <si>
    <t>June payroll run — all departments</t>
  </si>
  <si>
    <t>GL-Q2-00213</t>
  </si>
  <si>
    <t>June payroll disbursement</t>
  </si>
  <si>
    <t>BACS batch NX-PAY-2026-06</t>
  </si>
  <si>
    <t>GL-Q2-00224</t>
  </si>
  <si>
    <t>2026-06-14</t>
  </si>
  <si>
    <t>Titan Construction Group — Q2 service fee</t>
  </si>
  <si>
    <t>Account NX-ACC-3489</t>
  </si>
  <si>
    <t>Harold Ibe</t>
  </si>
  <si>
    <t>GL-Q2-00225</t>
  </si>
  <si>
    <t>Titan Construction Group — Q2 invoice raised</t>
  </si>
  <si>
    <t>GL-Q2-00231</t>
  </si>
  <si>
    <t>2026-06-18</t>
  </si>
  <si>
    <t>Datacentre cooling system upgrade — deposit</t>
  </si>
  <si>
    <t>PO NX-PO-2026-0519 / see invoice_datacentre_cooling.docx</t>
  </si>
  <si>
    <t>GL-Q2-00232</t>
  </si>
  <si>
    <t>ArcticFlow Cooling Systems Ltd — deposit accrual</t>
  </si>
  <si>
    <t>30% deposit against NX-INV-2026-0519</t>
  </si>
  <si>
    <t>GL-Q2-00240</t>
  </si>
  <si>
    <t>2026-06-25</t>
  </si>
  <si>
    <t>Procurement\VendorContracts</t>
  </si>
  <si>
    <t>Ridgeline Fibre Contractors — civil works Q2 milestone 2</t>
  </si>
  <si>
    <t>PO NX-PO-2026-0512</t>
  </si>
  <si>
    <t>GL-Q2-00241</t>
  </si>
  <si>
    <t>Bank transfer ref RFC-Q2-02</t>
  </si>
  <si>
    <t>TOTAL</t>
  </si>
  <si>
    <t>Trial Balance Summary — Q2 2026 (by Account)</t>
  </si>
  <si>
    <t>Total Debit (GBP)</t>
  </si>
  <si>
    <t>Total Credit (GBP)</t>
  </si>
  <si>
    <t>Balance Check (Debit − Credit)</t>
  </si>
  <si>
    <t>NexaNet Communications  Chart of Accounts (Reference)</t>
  </si>
  <si>
    <t>CONFIDENTIAL  Finance-Archive\staging  Internal use only. Company Reg. 915501328  NEXA House, Victoria Island, Lagos</t>
  </si>
  <si>
    <t>Revenue  Enterprise Contracts</t>
  </si>
  <si>
    <t>Revenue  Consumer Broadband</t>
  </si>
  <si>
    <t>Cost of Sales  Network Operations</t>
  </si>
  <si>
    <t>Capital Expenditure  Network</t>
  </si>
  <si>
    <t>Capital Expenditure  Property</t>
  </si>
  <si>
    <t>Bank  Operating Account (GBP)</t>
  </si>
  <si>
    <t>Bank  Operating Account (NGN)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</si>
</sst>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1F2937"/>
      <name val="Arial"/>
      <charset val="1"/>
    </font>
    <font>
      <i/>
      <sz val="9"/>
      <color rgb="FFB91C1C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1F2937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3F4F6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3" borderId="1" xfId="0" applyFont="1" applyFill="1" applyBorder="1"/>
    <xf numFmtId="3" fontId="4" fillId="0" borderId="1" xfId="0" applyNumberFormat="1" applyFont="1" applyBorder="1"/>
    <xf numFmtId="3" fontId="4" fillId="3" borderId="1" xfId="0" applyNumberFormat="1" applyFont="1" applyFill="1" applyBorder="1"/>
    <xf numFmtId="0" fontId="5" fillId="0" borderId="1" xfId="0" applyFont="1" applyBorder="1"/>
    <xf numFmtId="3" fontId="5" fillId="0" borderId="1" xfId="0" applyNumberFormat="1" applyFont="1" applyBorder="1"/>
    <xf numFmtId="0" fontId="6" fillId="0" borderId="0" xfId="0" applyFont="1"/>
    <xf numFmtId="3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91C1C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zoomScaleNormal="100" workbookViewId="0">
      <selection activeCell="H16" sqref="H16"/>
    </sheetView>
  </sheetViews>
  <sheetFormatPr defaultColWidth="8.7109375" defaultRowHeight="15" x14ac:dyDescent="0.25"/>
  <cols>
    <col min="1" max="1" width="14" customWidth="1"/>
    <col min="2" max="2" width="40" customWidth="1"/>
    <col min="3" max="3" width="14" customWidth="1"/>
  </cols>
  <sheetData>
    <row r="1" spans="1:3" ht="18" x14ac:dyDescent="0.25">
      <c r="A1" s="2" t="s">
        <v>147</v>
      </c>
      <c r="B1" s="2"/>
      <c r="C1" s="2"/>
    </row>
    <row r="2" spans="1:3" x14ac:dyDescent="0.25">
      <c r="A2" s="1" t="s">
        <v>148</v>
      </c>
      <c r="B2" s="1"/>
      <c r="C2" s="1"/>
    </row>
    <row r="4" spans="1:3" x14ac:dyDescent="0.25">
      <c r="A4" s="3" t="s">
        <v>1</v>
      </c>
      <c r="B4" s="3" t="s">
        <v>2</v>
      </c>
      <c r="C4" s="3" t="s">
        <v>3</v>
      </c>
    </row>
    <row r="5" spans="1:3" x14ac:dyDescent="0.25">
      <c r="A5" s="4" t="s">
        <v>4</v>
      </c>
      <c r="B5" s="4" t="s">
        <v>149</v>
      </c>
      <c r="C5" s="4" t="s">
        <v>6</v>
      </c>
    </row>
    <row r="6" spans="1:3" x14ac:dyDescent="0.25">
      <c r="A6" s="5" t="s">
        <v>7</v>
      </c>
      <c r="B6" s="5" t="s">
        <v>150</v>
      </c>
      <c r="C6" s="5" t="s">
        <v>6</v>
      </c>
    </row>
    <row r="7" spans="1:3" x14ac:dyDescent="0.25">
      <c r="A7" s="4" t="s">
        <v>9</v>
      </c>
      <c r="B7" s="4" t="s">
        <v>151</v>
      </c>
      <c r="C7" s="4" t="s">
        <v>11</v>
      </c>
    </row>
    <row r="8" spans="1:3" x14ac:dyDescent="0.25">
      <c r="A8" s="5" t="s">
        <v>12</v>
      </c>
      <c r="B8" s="5" t="s">
        <v>13</v>
      </c>
      <c r="C8" s="5" t="s">
        <v>11</v>
      </c>
    </row>
    <row r="9" spans="1:3" x14ac:dyDescent="0.25">
      <c r="A9" s="4" t="s">
        <v>14</v>
      </c>
      <c r="B9" s="4" t="s">
        <v>15</v>
      </c>
      <c r="C9" s="4" t="s">
        <v>11</v>
      </c>
    </row>
    <row r="10" spans="1:3" x14ac:dyDescent="0.25">
      <c r="A10" s="5" t="s">
        <v>16</v>
      </c>
      <c r="B10" s="5" t="s">
        <v>17</v>
      </c>
      <c r="C10" s="5" t="s">
        <v>11</v>
      </c>
    </row>
    <row r="11" spans="1:3" x14ac:dyDescent="0.25">
      <c r="A11" s="4" t="s">
        <v>18</v>
      </c>
      <c r="B11" s="4" t="s">
        <v>19</v>
      </c>
      <c r="C11" s="4" t="s">
        <v>11</v>
      </c>
    </row>
    <row r="12" spans="1:3" x14ac:dyDescent="0.25">
      <c r="A12" s="5" t="s">
        <v>20</v>
      </c>
      <c r="B12" s="5" t="s">
        <v>152</v>
      </c>
      <c r="C12" s="5" t="s">
        <v>22</v>
      </c>
    </row>
    <row r="13" spans="1:3" x14ac:dyDescent="0.25">
      <c r="A13" s="4" t="s">
        <v>23</v>
      </c>
      <c r="B13" s="4" t="s">
        <v>153</v>
      </c>
      <c r="C13" s="4" t="s">
        <v>22</v>
      </c>
    </row>
    <row r="14" spans="1:3" x14ac:dyDescent="0.25">
      <c r="A14" s="5" t="s">
        <v>25</v>
      </c>
      <c r="B14" s="5" t="s">
        <v>154</v>
      </c>
      <c r="C14" s="5" t="s">
        <v>22</v>
      </c>
    </row>
    <row r="15" spans="1:3" x14ac:dyDescent="0.25">
      <c r="A15" s="4" t="s">
        <v>27</v>
      </c>
      <c r="B15" s="4" t="s">
        <v>155</v>
      </c>
      <c r="C15" s="4" t="s">
        <v>22</v>
      </c>
    </row>
    <row r="16" spans="1:3" x14ac:dyDescent="0.25">
      <c r="A16" s="5" t="s">
        <v>29</v>
      </c>
      <c r="B16" s="5" t="s">
        <v>30</v>
      </c>
      <c r="C16" s="5" t="s">
        <v>31</v>
      </c>
    </row>
    <row r="17" spans="1:3" x14ac:dyDescent="0.25">
      <c r="A17" s="4" t="s">
        <v>32</v>
      </c>
      <c r="B17" s="4" t="s">
        <v>33</v>
      </c>
      <c r="C17" s="4" t="s">
        <v>22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3" customWidth="1"/>
    <col min="2" max="3" width="12" customWidth="1"/>
    <col min="4" max="4" width="26" customWidth="1"/>
    <col min="5" max="5" width="22" customWidth="1"/>
    <col min="6" max="6" width="34" customWidth="1"/>
    <col min="7" max="7" width="32" customWidth="1"/>
    <col min="8" max="9" width="14" customWidth="1"/>
    <col min="10" max="10" width="16" customWidth="1"/>
  </cols>
  <sheetData>
    <row r="1" spans="1:10" ht="18" x14ac:dyDescent="0.25">
      <c r="A1" s="2" t="s">
        <v>34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4" spans="1:10" ht="25.5" x14ac:dyDescent="0.25">
      <c r="A4" s="3" t="s">
        <v>35</v>
      </c>
      <c r="B4" s="3" t="s">
        <v>36</v>
      </c>
      <c r="C4" s="3" t="s">
        <v>1</v>
      </c>
      <c r="D4" s="3" t="s">
        <v>2</v>
      </c>
      <c r="E4" s="3" t="s">
        <v>37</v>
      </c>
      <c r="F4" s="3" t="s">
        <v>38</v>
      </c>
      <c r="G4" s="3" t="s">
        <v>39</v>
      </c>
      <c r="H4" s="3" t="s">
        <v>40</v>
      </c>
      <c r="I4" s="3" t="s">
        <v>41</v>
      </c>
      <c r="J4" s="3" t="s">
        <v>42</v>
      </c>
    </row>
    <row r="5" spans="1:10" x14ac:dyDescent="0.25">
      <c r="A5" s="4" t="s">
        <v>43</v>
      </c>
      <c r="B5" s="4" t="s">
        <v>44</v>
      </c>
      <c r="C5" s="4" t="s">
        <v>12</v>
      </c>
      <c r="D5" s="4" t="s">
        <v>13</v>
      </c>
      <c r="E5" s="4" t="s">
        <v>45</v>
      </c>
      <c r="F5" s="4" t="s">
        <v>46</v>
      </c>
      <c r="G5" s="4" t="s">
        <v>47</v>
      </c>
      <c r="H5" s="6">
        <v>612480</v>
      </c>
      <c r="I5" s="6">
        <v>0</v>
      </c>
      <c r="J5" s="4" t="s">
        <v>48</v>
      </c>
    </row>
    <row r="6" spans="1:10" x14ac:dyDescent="0.25">
      <c r="A6" s="5" t="s">
        <v>49</v>
      </c>
      <c r="B6" s="5" t="s">
        <v>44</v>
      </c>
      <c r="C6" s="5" t="s">
        <v>25</v>
      </c>
      <c r="D6" s="5" t="s">
        <v>26</v>
      </c>
      <c r="E6" s="5" t="s">
        <v>50</v>
      </c>
      <c r="F6" s="5" t="s">
        <v>51</v>
      </c>
      <c r="G6" s="5" t="s">
        <v>52</v>
      </c>
      <c r="H6" s="7">
        <v>0</v>
      </c>
      <c r="I6" s="7">
        <v>612480</v>
      </c>
      <c r="J6" s="5" t="s">
        <v>48</v>
      </c>
    </row>
    <row r="7" spans="1:10" x14ac:dyDescent="0.25">
      <c r="A7" s="4" t="s">
        <v>53</v>
      </c>
      <c r="B7" s="4" t="s">
        <v>54</v>
      </c>
      <c r="C7" s="4" t="s">
        <v>16</v>
      </c>
      <c r="D7" s="4" t="s">
        <v>17</v>
      </c>
      <c r="E7" s="4" t="s">
        <v>55</v>
      </c>
      <c r="F7" s="4" t="s">
        <v>56</v>
      </c>
      <c r="G7" s="4" t="s">
        <v>57</v>
      </c>
      <c r="H7" s="6">
        <v>186000</v>
      </c>
      <c r="I7" s="6">
        <v>0</v>
      </c>
      <c r="J7" s="4" t="s">
        <v>58</v>
      </c>
    </row>
    <row r="8" spans="1:10" x14ac:dyDescent="0.25">
      <c r="A8" s="5" t="s">
        <v>59</v>
      </c>
      <c r="B8" s="5" t="s">
        <v>54</v>
      </c>
      <c r="C8" s="5" t="s">
        <v>25</v>
      </c>
      <c r="D8" s="5" t="s">
        <v>26</v>
      </c>
      <c r="E8" s="5" t="s">
        <v>50</v>
      </c>
      <c r="F8" s="5" t="s">
        <v>60</v>
      </c>
      <c r="G8" s="5" t="s">
        <v>61</v>
      </c>
      <c r="H8" s="7">
        <v>0</v>
      </c>
      <c r="I8" s="7">
        <v>186000</v>
      </c>
      <c r="J8" s="5" t="s">
        <v>62</v>
      </c>
    </row>
    <row r="9" spans="1:10" x14ac:dyDescent="0.25">
      <c r="A9" s="4" t="s">
        <v>63</v>
      </c>
      <c r="B9" s="4" t="s">
        <v>64</v>
      </c>
      <c r="C9" s="4" t="s">
        <v>4</v>
      </c>
      <c r="D9" s="4" t="s">
        <v>5</v>
      </c>
      <c r="E9" s="4" t="s">
        <v>65</v>
      </c>
      <c r="F9" s="4" t="s">
        <v>66</v>
      </c>
      <c r="G9" s="4" t="s">
        <v>67</v>
      </c>
      <c r="H9" s="6">
        <v>0</v>
      </c>
      <c r="I9" s="6">
        <v>89000</v>
      </c>
      <c r="J9" s="4" t="s">
        <v>68</v>
      </c>
    </row>
    <row r="10" spans="1:10" x14ac:dyDescent="0.25">
      <c r="A10" s="5" t="s">
        <v>69</v>
      </c>
      <c r="B10" s="5" t="s">
        <v>64</v>
      </c>
      <c r="C10" s="5" t="s">
        <v>32</v>
      </c>
      <c r="D10" s="5" t="s">
        <v>33</v>
      </c>
      <c r="E10" s="5" t="s">
        <v>65</v>
      </c>
      <c r="F10" s="5" t="s">
        <v>70</v>
      </c>
      <c r="G10" s="5" t="s">
        <v>67</v>
      </c>
      <c r="H10" s="7">
        <v>89000</v>
      </c>
      <c r="I10" s="7">
        <v>0</v>
      </c>
      <c r="J10" s="5" t="s">
        <v>68</v>
      </c>
    </row>
    <row r="11" spans="1:10" x14ac:dyDescent="0.25">
      <c r="A11" s="4" t="s">
        <v>71</v>
      </c>
      <c r="B11" s="4" t="s">
        <v>72</v>
      </c>
      <c r="C11" s="4" t="s">
        <v>16</v>
      </c>
      <c r="D11" s="4" t="s">
        <v>17</v>
      </c>
      <c r="E11" s="4" t="s">
        <v>73</v>
      </c>
      <c r="F11" s="4" t="s">
        <v>74</v>
      </c>
      <c r="G11" s="4" t="s">
        <v>75</v>
      </c>
      <c r="H11" s="6">
        <v>36356</v>
      </c>
      <c r="I11" s="6">
        <v>0</v>
      </c>
      <c r="J11" s="4" t="s">
        <v>62</v>
      </c>
    </row>
    <row r="12" spans="1:10" x14ac:dyDescent="0.25">
      <c r="A12" s="5" t="s">
        <v>76</v>
      </c>
      <c r="B12" s="5" t="s">
        <v>72</v>
      </c>
      <c r="C12" s="5" t="s">
        <v>25</v>
      </c>
      <c r="D12" s="5" t="s">
        <v>26</v>
      </c>
      <c r="E12" s="5" t="s">
        <v>50</v>
      </c>
      <c r="F12" s="5" t="s">
        <v>77</v>
      </c>
      <c r="G12" s="5" t="s">
        <v>78</v>
      </c>
      <c r="H12" s="7">
        <v>0</v>
      </c>
      <c r="I12" s="7">
        <v>36356</v>
      </c>
      <c r="J12" s="5" t="s">
        <v>62</v>
      </c>
    </row>
    <row r="13" spans="1:10" x14ac:dyDescent="0.25">
      <c r="A13" s="4" t="s">
        <v>79</v>
      </c>
      <c r="B13" s="4" t="s">
        <v>80</v>
      </c>
      <c r="C13" s="4" t="s">
        <v>12</v>
      </c>
      <c r="D13" s="4" t="s">
        <v>13</v>
      </c>
      <c r="E13" s="4" t="s">
        <v>45</v>
      </c>
      <c r="F13" s="4" t="s">
        <v>81</v>
      </c>
      <c r="G13" s="4" t="s">
        <v>47</v>
      </c>
      <c r="H13" s="6">
        <v>618750</v>
      </c>
      <c r="I13" s="6">
        <v>0</v>
      </c>
      <c r="J13" s="4" t="s">
        <v>48</v>
      </c>
    </row>
    <row r="14" spans="1:10" x14ac:dyDescent="0.25">
      <c r="A14" s="5" t="s">
        <v>82</v>
      </c>
      <c r="B14" s="5" t="s">
        <v>80</v>
      </c>
      <c r="C14" s="5" t="s">
        <v>25</v>
      </c>
      <c r="D14" s="5" t="s">
        <v>26</v>
      </c>
      <c r="E14" s="5" t="s">
        <v>50</v>
      </c>
      <c r="F14" s="5" t="s">
        <v>83</v>
      </c>
      <c r="G14" s="5" t="s">
        <v>84</v>
      </c>
      <c r="H14" s="7">
        <v>0</v>
      </c>
      <c r="I14" s="7">
        <v>618750</v>
      </c>
      <c r="J14" s="5" t="s">
        <v>48</v>
      </c>
    </row>
    <row r="15" spans="1:10" x14ac:dyDescent="0.25">
      <c r="A15" s="4" t="s">
        <v>85</v>
      </c>
      <c r="B15" s="4" t="s">
        <v>86</v>
      </c>
      <c r="C15" s="4" t="s">
        <v>4</v>
      </c>
      <c r="D15" s="4" t="s">
        <v>5</v>
      </c>
      <c r="E15" s="4" t="s">
        <v>65</v>
      </c>
      <c r="F15" s="4" t="s">
        <v>87</v>
      </c>
      <c r="G15" s="4" t="s">
        <v>88</v>
      </c>
      <c r="H15" s="6">
        <v>0</v>
      </c>
      <c r="I15" s="6">
        <v>66750</v>
      </c>
      <c r="J15" s="4" t="s">
        <v>68</v>
      </c>
    </row>
    <row r="16" spans="1:10" x14ac:dyDescent="0.25">
      <c r="A16" s="5" t="s">
        <v>89</v>
      </c>
      <c r="B16" s="5" t="s">
        <v>86</v>
      </c>
      <c r="C16" s="5" t="s">
        <v>32</v>
      </c>
      <c r="D16" s="5" t="s">
        <v>33</v>
      </c>
      <c r="E16" s="5" t="s">
        <v>65</v>
      </c>
      <c r="F16" s="5" t="s">
        <v>90</v>
      </c>
      <c r="G16" s="5" t="s">
        <v>88</v>
      </c>
      <c r="H16" s="7">
        <v>66750</v>
      </c>
      <c r="I16" s="7">
        <v>0</v>
      </c>
      <c r="J16" s="5" t="s">
        <v>68</v>
      </c>
    </row>
    <row r="17" spans="1:10" x14ac:dyDescent="0.25">
      <c r="A17" s="4" t="s">
        <v>91</v>
      </c>
      <c r="B17" s="4" t="s">
        <v>92</v>
      </c>
      <c r="C17" s="4" t="s">
        <v>20</v>
      </c>
      <c r="D17" s="4" t="s">
        <v>21</v>
      </c>
      <c r="E17" s="4" t="s">
        <v>73</v>
      </c>
      <c r="F17" s="4" t="s">
        <v>93</v>
      </c>
      <c r="G17" s="4" t="s">
        <v>94</v>
      </c>
      <c r="H17" s="6">
        <v>340000</v>
      </c>
      <c r="I17" s="6">
        <v>0</v>
      </c>
      <c r="J17" s="4" t="s">
        <v>95</v>
      </c>
    </row>
    <row r="18" spans="1:10" x14ac:dyDescent="0.25">
      <c r="A18" s="5" t="s">
        <v>96</v>
      </c>
      <c r="B18" s="5" t="s">
        <v>92</v>
      </c>
      <c r="C18" s="5" t="s">
        <v>29</v>
      </c>
      <c r="D18" s="5" t="s">
        <v>30</v>
      </c>
      <c r="E18" s="5" t="s">
        <v>50</v>
      </c>
      <c r="F18" s="5" t="s">
        <v>97</v>
      </c>
      <c r="G18" s="5" t="s">
        <v>98</v>
      </c>
      <c r="H18" s="7">
        <v>0</v>
      </c>
      <c r="I18" s="7">
        <v>340000</v>
      </c>
      <c r="J18" s="5" t="s">
        <v>95</v>
      </c>
    </row>
    <row r="19" spans="1:10" x14ac:dyDescent="0.25">
      <c r="A19" s="4" t="s">
        <v>99</v>
      </c>
      <c r="B19" s="4" t="s">
        <v>100</v>
      </c>
      <c r="C19" s="4" t="s">
        <v>14</v>
      </c>
      <c r="D19" s="4" t="s">
        <v>15</v>
      </c>
      <c r="E19" s="4" t="s">
        <v>101</v>
      </c>
      <c r="F19" s="4" t="s">
        <v>102</v>
      </c>
      <c r="G19" s="4" t="s">
        <v>103</v>
      </c>
      <c r="H19" s="6">
        <v>18500</v>
      </c>
      <c r="I19" s="6">
        <v>0</v>
      </c>
      <c r="J19" s="4" t="s">
        <v>58</v>
      </c>
    </row>
    <row r="20" spans="1:10" x14ac:dyDescent="0.25">
      <c r="A20" s="5" t="s">
        <v>104</v>
      </c>
      <c r="B20" s="5" t="s">
        <v>100</v>
      </c>
      <c r="C20" s="5" t="s">
        <v>25</v>
      </c>
      <c r="D20" s="5" t="s">
        <v>26</v>
      </c>
      <c r="E20" s="5" t="s">
        <v>50</v>
      </c>
      <c r="F20" s="5" t="s">
        <v>105</v>
      </c>
      <c r="G20" s="5" t="s">
        <v>106</v>
      </c>
      <c r="H20" s="7">
        <v>0</v>
      </c>
      <c r="I20" s="7">
        <v>18500</v>
      </c>
      <c r="J20" s="5" t="s">
        <v>58</v>
      </c>
    </row>
    <row r="21" spans="1:10" x14ac:dyDescent="0.25">
      <c r="A21" s="4" t="s">
        <v>107</v>
      </c>
      <c r="B21" s="4" t="s">
        <v>108</v>
      </c>
      <c r="C21" s="4" t="s">
        <v>18</v>
      </c>
      <c r="D21" s="4" t="s">
        <v>19</v>
      </c>
      <c r="E21" s="4" t="s">
        <v>109</v>
      </c>
      <c r="F21" s="4" t="s">
        <v>110</v>
      </c>
      <c r="G21" s="4" t="s">
        <v>111</v>
      </c>
      <c r="H21" s="6">
        <v>42500</v>
      </c>
      <c r="I21" s="6">
        <v>0</v>
      </c>
      <c r="J21" s="4" t="s">
        <v>62</v>
      </c>
    </row>
    <row r="22" spans="1:10" x14ac:dyDescent="0.25">
      <c r="A22" s="5" t="s">
        <v>112</v>
      </c>
      <c r="B22" s="5" t="s">
        <v>108</v>
      </c>
      <c r="C22" s="5" t="s">
        <v>25</v>
      </c>
      <c r="D22" s="5" t="s">
        <v>26</v>
      </c>
      <c r="E22" s="5" t="s">
        <v>50</v>
      </c>
      <c r="F22" s="5" t="s">
        <v>113</v>
      </c>
      <c r="G22" s="5" t="s">
        <v>114</v>
      </c>
      <c r="H22" s="7">
        <v>0</v>
      </c>
      <c r="I22" s="7">
        <v>42500</v>
      </c>
      <c r="J22" s="5" t="s">
        <v>62</v>
      </c>
    </row>
    <row r="23" spans="1:10" x14ac:dyDescent="0.25">
      <c r="A23" s="4" t="s">
        <v>115</v>
      </c>
      <c r="B23" s="4" t="s">
        <v>116</v>
      </c>
      <c r="C23" s="4" t="s">
        <v>12</v>
      </c>
      <c r="D23" s="4" t="s">
        <v>13</v>
      </c>
      <c r="E23" s="4" t="s">
        <v>45</v>
      </c>
      <c r="F23" s="4" t="s">
        <v>117</v>
      </c>
      <c r="G23" s="4" t="s">
        <v>47</v>
      </c>
      <c r="H23" s="6">
        <v>609200</v>
      </c>
      <c r="I23" s="6">
        <v>0</v>
      </c>
      <c r="J23" s="4" t="s">
        <v>48</v>
      </c>
    </row>
    <row r="24" spans="1:10" x14ac:dyDescent="0.25">
      <c r="A24" s="5" t="s">
        <v>118</v>
      </c>
      <c r="B24" s="5" t="s">
        <v>116</v>
      </c>
      <c r="C24" s="5" t="s">
        <v>25</v>
      </c>
      <c r="D24" s="5" t="s">
        <v>26</v>
      </c>
      <c r="E24" s="5" t="s">
        <v>50</v>
      </c>
      <c r="F24" s="5" t="s">
        <v>119</v>
      </c>
      <c r="G24" s="5" t="s">
        <v>120</v>
      </c>
      <c r="H24" s="7">
        <v>0</v>
      </c>
      <c r="I24" s="7">
        <v>609200</v>
      </c>
      <c r="J24" s="5" t="s">
        <v>48</v>
      </c>
    </row>
    <row r="25" spans="1:10" x14ac:dyDescent="0.25">
      <c r="A25" s="4" t="s">
        <v>121</v>
      </c>
      <c r="B25" s="4" t="s">
        <v>122</v>
      </c>
      <c r="C25" s="4" t="s">
        <v>4</v>
      </c>
      <c r="D25" s="4" t="s">
        <v>5</v>
      </c>
      <c r="E25" s="4" t="s">
        <v>65</v>
      </c>
      <c r="F25" s="4" t="s">
        <v>123</v>
      </c>
      <c r="G25" s="4" t="s">
        <v>124</v>
      </c>
      <c r="H25" s="6">
        <v>0</v>
      </c>
      <c r="I25" s="6">
        <v>68750</v>
      </c>
      <c r="J25" s="4" t="s">
        <v>125</v>
      </c>
    </row>
    <row r="26" spans="1:10" x14ac:dyDescent="0.25">
      <c r="A26" s="5" t="s">
        <v>126</v>
      </c>
      <c r="B26" s="5" t="s">
        <v>122</v>
      </c>
      <c r="C26" s="5" t="s">
        <v>32</v>
      </c>
      <c r="D26" s="5" t="s">
        <v>33</v>
      </c>
      <c r="E26" s="5" t="s">
        <v>65</v>
      </c>
      <c r="F26" s="5" t="s">
        <v>127</v>
      </c>
      <c r="G26" s="5" t="s">
        <v>124</v>
      </c>
      <c r="H26" s="7">
        <v>68750</v>
      </c>
      <c r="I26" s="7">
        <v>0</v>
      </c>
      <c r="J26" s="5" t="s">
        <v>125</v>
      </c>
    </row>
    <row r="27" spans="1:10" x14ac:dyDescent="0.25">
      <c r="A27" s="4" t="s">
        <v>128</v>
      </c>
      <c r="B27" s="4" t="s">
        <v>129</v>
      </c>
      <c r="C27" s="4" t="s">
        <v>23</v>
      </c>
      <c r="D27" s="4" t="s">
        <v>24</v>
      </c>
      <c r="E27" s="4" t="s">
        <v>109</v>
      </c>
      <c r="F27" s="4" t="s">
        <v>130</v>
      </c>
      <c r="G27" s="4" t="s">
        <v>131</v>
      </c>
      <c r="H27" s="6">
        <v>63000</v>
      </c>
      <c r="I27" s="6">
        <v>0</v>
      </c>
      <c r="J27" s="4" t="s">
        <v>95</v>
      </c>
    </row>
    <row r="28" spans="1:10" x14ac:dyDescent="0.25">
      <c r="A28" s="5" t="s">
        <v>132</v>
      </c>
      <c r="B28" s="5" t="s">
        <v>129</v>
      </c>
      <c r="C28" s="5" t="s">
        <v>29</v>
      </c>
      <c r="D28" s="5" t="s">
        <v>30</v>
      </c>
      <c r="E28" s="5" t="s">
        <v>50</v>
      </c>
      <c r="F28" s="5" t="s">
        <v>133</v>
      </c>
      <c r="G28" s="5" t="s">
        <v>134</v>
      </c>
      <c r="H28" s="7">
        <v>0</v>
      </c>
      <c r="I28" s="7">
        <v>63000</v>
      </c>
      <c r="J28" s="5" t="s">
        <v>95</v>
      </c>
    </row>
    <row r="29" spans="1:10" x14ac:dyDescent="0.25">
      <c r="A29" s="4" t="s">
        <v>135</v>
      </c>
      <c r="B29" s="4" t="s">
        <v>136</v>
      </c>
      <c r="C29" s="4" t="s">
        <v>16</v>
      </c>
      <c r="D29" s="4" t="s">
        <v>17</v>
      </c>
      <c r="E29" s="4" t="s">
        <v>137</v>
      </c>
      <c r="F29" s="4" t="s">
        <v>138</v>
      </c>
      <c r="G29" s="4" t="s">
        <v>139</v>
      </c>
      <c r="H29" s="6">
        <v>154000</v>
      </c>
      <c r="I29" s="6">
        <v>0</v>
      </c>
      <c r="J29" s="4" t="s">
        <v>58</v>
      </c>
    </row>
    <row r="30" spans="1:10" x14ac:dyDescent="0.25">
      <c r="A30" s="5" t="s">
        <v>140</v>
      </c>
      <c r="B30" s="5" t="s">
        <v>136</v>
      </c>
      <c r="C30" s="5" t="s">
        <v>25</v>
      </c>
      <c r="D30" s="5" t="s">
        <v>26</v>
      </c>
      <c r="E30" s="5" t="s">
        <v>50</v>
      </c>
      <c r="F30" s="5" t="s">
        <v>60</v>
      </c>
      <c r="G30" s="5" t="s">
        <v>141</v>
      </c>
      <c r="H30" s="7">
        <v>0</v>
      </c>
      <c r="I30" s="7">
        <v>154000</v>
      </c>
      <c r="J30" s="5" t="s">
        <v>62</v>
      </c>
    </row>
    <row r="31" spans="1:10" x14ac:dyDescent="0.25">
      <c r="F31" s="8" t="s">
        <v>142</v>
      </c>
      <c r="H31" s="9">
        <f>SUM(H5:H30)</f>
        <v>2905286</v>
      </c>
      <c r="I31" s="9">
        <f>SUM(I5:I30)</f>
        <v>2905286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4" customWidth="1"/>
    <col min="2" max="2" width="40" customWidth="1"/>
    <col min="3" max="4" width="18" customWidth="1"/>
  </cols>
  <sheetData>
    <row r="1" spans="1:4" ht="18" x14ac:dyDescent="0.25">
      <c r="A1" s="2" t="s">
        <v>143</v>
      </c>
      <c r="B1" s="2"/>
      <c r="C1" s="2"/>
      <c r="D1" s="2"/>
    </row>
    <row r="2" spans="1:4" x14ac:dyDescent="0.25">
      <c r="A2" s="1" t="s">
        <v>0</v>
      </c>
      <c r="B2" s="1"/>
      <c r="C2" s="1"/>
      <c r="D2" s="1"/>
    </row>
    <row r="4" spans="1:4" x14ac:dyDescent="0.25">
      <c r="A4" s="3" t="s">
        <v>1</v>
      </c>
      <c r="B4" s="3" t="s">
        <v>2</v>
      </c>
      <c r="C4" s="3" t="s">
        <v>144</v>
      </c>
      <c r="D4" s="3" t="s">
        <v>145</v>
      </c>
    </row>
    <row r="5" spans="1:4" x14ac:dyDescent="0.25">
      <c r="A5" s="4" t="s">
        <v>4</v>
      </c>
      <c r="B5" s="4" t="s">
        <v>5</v>
      </c>
      <c r="C5" s="6">
        <f>SUMIF('GL Transactions Q2'!$C$5:$C$30,A5,'GL Transactions Q2'!$H$5:$H$30)</f>
        <v>0</v>
      </c>
      <c r="D5" s="6">
        <f>SUMIF('GL Transactions Q2'!$C$5:$C$30,A5,'GL Transactions Q2'!$I$5:$I$30)</f>
        <v>224500</v>
      </c>
    </row>
    <row r="6" spans="1:4" x14ac:dyDescent="0.25">
      <c r="A6" s="5" t="s">
        <v>7</v>
      </c>
      <c r="B6" s="5" t="s">
        <v>8</v>
      </c>
      <c r="C6" s="7">
        <f>SUMIF('GL Transactions Q2'!$C$5:$C$30,A6,'GL Transactions Q2'!$H$5:$H$30)</f>
        <v>0</v>
      </c>
      <c r="D6" s="7">
        <f>SUMIF('GL Transactions Q2'!$C$5:$C$30,A6,'GL Transactions Q2'!$I$5:$I$30)</f>
        <v>0</v>
      </c>
    </row>
    <row r="7" spans="1:4" x14ac:dyDescent="0.25">
      <c r="A7" s="4" t="s">
        <v>9</v>
      </c>
      <c r="B7" s="4" t="s">
        <v>10</v>
      </c>
      <c r="C7" s="6">
        <f>SUMIF('GL Transactions Q2'!$C$5:$C$30,A7,'GL Transactions Q2'!$H$5:$H$30)</f>
        <v>0</v>
      </c>
      <c r="D7" s="6">
        <f>SUMIF('GL Transactions Q2'!$C$5:$C$30,A7,'GL Transactions Q2'!$I$5:$I$30)</f>
        <v>0</v>
      </c>
    </row>
    <row r="8" spans="1:4" x14ac:dyDescent="0.25">
      <c r="A8" s="5" t="s">
        <v>12</v>
      </c>
      <c r="B8" s="5" t="s">
        <v>13</v>
      </c>
      <c r="C8" s="7">
        <f>SUMIF('GL Transactions Q2'!$C$5:$C$30,A8,'GL Transactions Q2'!$H$5:$H$30)</f>
        <v>1840430</v>
      </c>
      <c r="D8" s="7">
        <f>SUMIF('GL Transactions Q2'!$C$5:$C$30,A8,'GL Transactions Q2'!$I$5:$I$30)</f>
        <v>0</v>
      </c>
    </row>
    <row r="9" spans="1:4" x14ac:dyDescent="0.25">
      <c r="A9" s="4" t="s">
        <v>14</v>
      </c>
      <c r="B9" s="4" t="s">
        <v>15</v>
      </c>
      <c r="C9" s="6">
        <f>SUMIF('GL Transactions Q2'!$C$5:$C$30,A9,'GL Transactions Q2'!$H$5:$H$30)</f>
        <v>18500</v>
      </c>
      <c r="D9" s="6">
        <f>SUMIF('GL Transactions Q2'!$C$5:$C$30,A9,'GL Transactions Q2'!$I$5:$I$30)</f>
        <v>0</v>
      </c>
    </row>
    <row r="10" spans="1:4" x14ac:dyDescent="0.25">
      <c r="A10" s="5" t="s">
        <v>16</v>
      </c>
      <c r="B10" s="5" t="s">
        <v>17</v>
      </c>
      <c r="C10" s="7">
        <f>SUMIF('GL Transactions Q2'!$C$5:$C$30,A10,'GL Transactions Q2'!$H$5:$H$30)</f>
        <v>376356</v>
      </c>
      <c r="D10" s="7">
        <f>SUMIF('GL Transactions Q2'!$C$5:$C$30,A10,'GL Transactions Q2'!$I$5:$I$30)</f>
        <v>0</v>
      </c>
    </row>
    <row r="11" spans="1:4" x14ac:dyDescent="0.25">
      <c r="A11" s="4" t="s">
        <v>18</v>
      </c>
      <c r="B11" s="4" t="s">
        <v>19</v>
      </c>
      <c r="C11" s="6">
        <f>SUMIF('GL Transactions Q2'!$C$5:$C$30,A11,'GL Transactions Q2'!$H$5:$H$30)</f>
        <v>42500</v>
      </c>
      <c r="D11" s="6">
        <f>SUMIF('GL Transactions Q2'!$C$5:$C$30,A11,'GL Transactions Q2'!$I$5:$I$30)</f>
        <v>0</v>
      </c>
    </row>
    <row r="12" spans="1:4" x14ac:dyDescent="0.25">
      <c r="A12" s="5" t="s">
        <v>20</v>
      </c>
      <c r="B12" s="5" t="s">
        <v>21</v>
      </c>
      <c r="C12" s="7">
        <f>SUMIF('GL Transactions Q2'!$C$5:$C$30,A12,'GL Transactions Q2'!$H$5:$H$30)</f>
        <v>340000</v>
      </c>
      <c r="D12" s="7">
        <f>SUMIF('GL Transactions Q2'!$C$5:$C$30,A12,'GL Transactions Q2'!$I$5:$I$30)</f>
        <v>0</v>
      </c>
    </row>
    <row r="13" spans="1:4" x14ac:dyDescent="0.25">
      <c r="A13" s="4" t="s">
        <v>23</v>
      </c>
      <c r="B13" s="4" t="s">
        <v>24</v>
      </c>
      <c r="C13" s="6">
        <f>SUMIF('GL Transactions Q2'!$C$5:$C$30,A13,'GL Transactions Q2'!$H$5:$H$30)</f>
        <v>63000</v>
      </c>
      <c r="D13" s="6">
        <f>SUMIF('GL Transactions Q2'!$C$5:$C$30,A13,'GL Transactions Q2'!$I$5:$I$30)</f>
        <v>0</v>
      </c>
    </row>
    <row r="14" spans="1:4" x14ac:dyDescent="0.25">
      <c r="A14" s="5" t="s">
        <v>25</v>
      </c>
      <c r="B14" s="5" t="s">
        <v>26</v>
      </c>
      <c r="C14" s="7">
        <f>SUMIF('GL Transactions Q2'!$C$5:$C$30,A14,'GL Transactions Q2'!$H$5:$H$30)</f>
        <v>0</v>
      </c>
      <c r="D14" s="7">
        <f>SUMIF('GL Transactions Q2'!$C$5:$C$30,A14,'GL Transactions Q2'!$I$5:$I$30)</f>
        <v>2277786</v>
      </c>
    </row>
    <row r="15" spans="1:4" x14ac:dyDescent="0.25">
      <c r="A15" s="4" t="s">
        <v>27</v>
      </c>
      <c r="B15" s="4" t="s">
        <v>28</v>
      </c>
      <c r="C15" s="6">
        <f>SUMIF('GL Transactions Q2'!$C$5:$C$30,A15,'GL Transactions Q2'!$H$5:$H$30)</f>
        <v>0</v>
      </c>
      <c r="D15" s="6">
        <f>SUMIF('GL Transactions Q2'!$C$5:$C$30,A15,'GL Transactions Q2'!$I$5:$I$30)</f>
        <v>0</v>
      </c>
    </row>
    <row r="16" spans="1:4" x14ac:dyDescent="0.25">
      <c r="A16" s="5" t="s">
        <v>29</v>
      </c>
      <c r="B16" s="5" t="s">
        <v>30</v>
      </c>
      <c r="C16" s="7">
        <f>SUMIF('GL Transactions Q2'!$C$5:$C$30,A16,'GL Transactions Q2'!$H$5:$H$30)</f>
        <v>0</v>
      </c>
      <c r="D16" s="7">
        <f>SUMIF('GL Transactions Q2'!$C$5:$C$30,A16,'GL Transactions Q2'!$I$5:$I$30)</f>
        <v>403000</v>
      </c>
    </row>
    <row r="17" spans="1:4" x14ac:dyDescent="0.25">
      <c r="A17" s="4" t="s">
        <v>32</v>
      </c>
      <c r="B17" s="4" t="s">
        <v>33</v>
      </c>
      <c r="C17" s="6">
        <f>SUMIF('GL Transactions Q2'!$C$5:$C$30,A17,'GL Transactions Q2'!$H$5:$H$30)</f>
        <v>224500</v>
      </c>
      <c r="D17" s="6">
        <f>SUMIF('GL Transactions Q2'!$C$5:$C$30,A17,'GL Transactions Q2'!$I$5:$I$30)</f>
        <v>0</v>
      </c>
    </row>
    <row r="18" spans="1:4" x14ac:dyDescent="0.25">
      <c r="B18" s="8" t="s">
        <v>142</v>
      </c>
      <c r="C18" s="9">
        <f>SUM(C5:C17)</f>
        <v>2905286</v>
      </c>
      <c r="D18" s="9">
        <f>SUM(D5:D17)</f>
        <v>2905286</v>
      </c>
    </row>
    <row r="20" spans="1:4" x14ac:dyDescent="0.25">
      <c r="B20" s="10" t="s">
        <v>146</v>
      </c>
      <c r="C20" s="11">
        <f>C18-D18</f>
        <v>0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 of Accounts</vt:lpstr>
      <vt:lpstr>GL Transactions Q2</vt:lpstr>
      <vt:lpstr>Trial Balance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David</cp:lastModifiedBy>
  <cp:revision>0</cp:revision>
  <dcterms:created xsi:type="dcterms:W3CDTF">2026-08-21T22:17:13Z</dcterms:created>
  <dcterms:modified xsi:type="dcterms:W3CDTF">2026-08-24T19:06:27Z</dcterms:modified>
  <dc:language>en-US</dc:language>
</cp:coreProperties>
</file>