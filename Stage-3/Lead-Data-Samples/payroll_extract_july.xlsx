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el\Desktop\Strand 1\19 Leaked sample data teaser\"/>
    </mc:Choice>
  </mc:AlternateContent>
  <xr:revisionPtr revIDLastSave="0" documentId="13_ncr:1_{76CD02AD-5EC3-40FE-8080-085E4834D80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ayroll Extrac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<sst xmlns="http://schemas.openxmlformats.org/spreadsheetml/2006/main" count="216" uniqueCount="151">
  <si>
    <t>Employee ID</t>
  </si>
  <si>
    <t>Full Name</t>
  </si>
  <si>
    <t>Department</t>
  </si>
  <si>
    <t>Job Title</t>
  </si>
  <si>
    <t>Location</t>
  </si>
  <si>
    <t>Annual Salary (GBP)</t>
  </si>
  <si>
    <t>Monthly Gross Pay (GBP)</t>
  </si>
  <si>
    <t>Tax Code</t>
  </si>
  <si>
    <t>NI Number</t>
  </si>
  <si>
    <t>Bank Sort Code</t>
  </si>
  <si>
    <t>Bank Account Number</t>
  </si>
  <si>
    <t>Start Date</t>
  </si>
  <si>
    <t>NX-EMP-1042</t>
  </si>
  <si>
    <t>Adaeze Okonkwo</t>
  </si>
  <si>
    <t>Finance</t>
  </si>
  <si>
    <t>Financial Controller</t>
  </si>
  <si>
    <t>Lagos HQ</t>
  </si>
  <si>
    <t>1257L</t>
  </si>
  <si>
    <t>QQ123456A</t>
  </si>
  <si>
    <t>40-11-23</t>
  </si>
  <si>
    <t>18274655</t>
  </si>
  <si>
    <t>2019-03-11</t>
  </si>
  <si>
    <t>NX-EMP-1043</t>
  </si>
  <si>
    <t>Michael Bamgbose</t>
  </si>
  <si>
    <t>Accounts Payable Clerk</t>
  </si>
  <si>
    <t>QQ223456A</t>
  </si>
  <si>
    <t>18274701</t>
  </si>
  <si>
    <t>2021-06-01</t>
  </si>
  <si>
    <t>NX-EMP-1051</t>
  </si>
  <si>
    <t>Sarah Whitfield</t>
  </si>
  <si>
    <t>Payroll Administrator</t>
  </si>
  <si>
    <t>London</t>
  </si>
  <si>
    <t>QQ323456A</t>
  </si>
  <si>
    <t>20-45-67</t>
  </si>
  <si>
    <t>22981144</t>
  </si>
  <si>
    <t>2020-09-14</t>
  </si>
  <si>
    <t>NX-EMP-1067</t>
  </si>
  <si>
    <t>Tunde Alabi</t>
  </si>
  <si>
    <t>Engineering</t>
  </si>
  <si>
    <t>Core Network Engineer</t>
  </si>
  <si>
    <t>QQ423456A</t>
  </si>
  <si>
    <t>18275002</t>
  </si>
  <si>
    <t>2018-01-22</t>
  </si>
  <si>
    <t>NX-EMP-1068</t>
  </si>
  <si>
    <t>James Okoro</t>
  </si>
  <si>
    <t>NOC Shift Lead</t>
  </si>
  <si>
    <t>QQ523456A</t>
  </si>
  <si>
    <t>18275119</t>
  </si>
  <si>
    <t>2017-11-03</t>
  </si>
  <si>
    <t>NX-EMP-1071</t>
  </si>
  <si>
    <t>Daniel Fitzgerald</t>
  </si>
  <si>
    <t>Field Maintenance Tech</t>
  </si>
  <si>
    <t>QQ623456A</t>
  </si>
  <si>
    <t>22981398</t>
  </si>
  <si>
    <t>2022-02-17</t>
  </si>
  <si>
    <t>NX-EMP-1082</t>
  </si>
  <si>
    <t>Grace Adeyemi</t>
  </si>
  <si>
    <t>HR</t>
  </si>
  <si>
    <t>HR Business Partner</t>
  </si>
  <si>
    <t>QQ723456A</t>
  </si>
  <si>
    <t>18275301</t>
  </si>
  <si>
    <t>2019-08-05</t>
  </si>
  <si>
    <t>NX-EMP-1083</t>
  </si>
  <si>
    <t>Emeka Nwosu</t>
  </si>
  <si>
    <t>Recruitment Coordinator</t>
  </si>
  <si>
    <t>QQ823456A</t>
  </si>
  <si>
    <t>18275388</t>
  </si>
  <si>
    <t>2023-01-09</t>
  </si>
  <si>
    <t>NX-EMP-1091</t>
  </si>
  <si>
    <t>Olivia Marsh</t>
  </si>
  <si>
    <t>Legal &amp; Compliance</t>
  </si>
  <si>
    <t>Compliance Officer</t>
  </si>
  <si>
    <t>QQ923456A</t>
  </si>
  <si>
    <t>22981577</t>
  </si>
  <si>
    <t>2021-04-19</t>
  </si>
  <si>
    <t>NX-EMP-1092</t>
  </si>
  <si>
    <t>Chidi Eze</t>
  </si>
  <si>
    <t>Contracts Manager</t>
  </si>
  <si>
    <t>QQ033456A</t>
  </si>
  <si>
    <t>18275450</t>
  </si>
  <si>
    <t>2016-07-12</t>
  </si>
  <si>
    <t>NX-EMP-1103</t>
  </si>
  <si>
    <t>Funmilayo Bello</t>
  </si>
  <si>
    <t>Customer Care</t>
  </si>
  <si>
    <t>Escalations Team Lead</t>
  </si>
  <si>
    <t>QQ133456A</t>
  </si>
  <si>
    <t>18275590</t>
  </si>
  <si>
    <t>2020-03-02</t>
  </si>
  <si>
    <t>NX-EMP-1104</t>
  </si>
  <si>
    <t>Peter Osagie</t>
  </si>
  <si>
    <t>Billing Support Agent</t>
  </si>
  <si>
    <t>QQ233456A</t>
  </si>
  <si>
    <t>18275612</t>
  </si>
  <si>
    <t>2022-10-25</t>
  </si>
  <si>
    <t>NX-EMP-1115</t>
  </si>
  <si>
    <t>Ifeoma Chukwu</t>
  </si>
  <si>
    <t>Sales</t>
  </si>
  <si>
    <t>Enterprise Account Mgr</t>
  </si>
  <si>
    <t>QQ333456A</t>
  </si>
  <si>
    <t>18275733</t>
  </si>
  <si>
    <t>2018-05-30</t>
  </si>
  <si>
    <t>NX-EMP-1116</t>
  </si>
  <si>
    <t>Harold Ibe</t>
  </si>
  <si>
    <t>Account Manager</t>
  </si>
  <si>
    <t>QQ433456A</t>
  </si>
  <si>
    <t>18275790</t>
  </si>
  <si>
    <t>2021-11-08</t>
  </si>
  <si>
    <t>NX-EMP-1124</t>
  </si>
  <si>
    <t>Rebecca Cole</t>
  </si>
  <si>
    <t>Marketing</t>
  </si>
  <si>
    <t>Brand &amp; Campaigns Lead</t>
  </si>
  <si>
    <t>QQ533456A</t>
  </si>
  <si>
    <t>22981822</t>
  </si>
  <si>
    <t>2019-06-17</t>
  </si>
  <si>
    <t>NX-EMP-1131</t>
  </si>
  <si>
    <t>Ibrahim Suleiman</t>
  </si>
  <si>
    <t>IT</t>
  </si>
  <si>
    <t>Systems Administrator</t>
  </si>
  <si>
    <t>QQ633456A</t>
  </si>
  <si>
    <t>18275904</t>
  </si>
  <si>
    <t>2020-01-13</t>
  </si>
  <si>
    <t>NX-EMP-1132</t>
  </si>
  <si>
    <t>David Nkemdirim</t>
  </si>
  <si>
    <t>Asset Inventory Analyst</t>
  </si>
  <si>
    <t>QQ733456A</t>
  </si>
  <si>
    <t>18275967</t>
  </si>
  <si>
    <t>2022-08-01</t>
  </si>
  <si>
    <t>NX-EMP-1145</t>
  </si>
  <si>
    <t>Patricia Obi</t>
  </si>
  <si>
    <t>Procurement</t>
  </si>
  <si>
    <t>Vendor Contracts Officer</t>
  </si>
  <si>
    <t>QQ833456A</t>
  </si>
  <si>
    <t>18276050</t>
  </si>
  <si>
    <t>2021-02-22</t>
  </si>
  <si>
    <t>NX-EMP-1152</t>
  </si>
  <si>
    <t>Segun Fashola</t>
  </si>
  <si>
    <t>Executive Office</t>
  </si>
  <si>
    <t>Executive Assistant</t>
  </si>
  <si>
    <t>QQ933456A</t>
  </si>
  <si>
    <t>18276112</t>
  </si>
  <si>
    <t>2020-05-19</t>
  </si>
  <si>
    <t>NX-EMP-1160</t>
  </si>
  <si>
    <t>Clara Henshaw</t>
  </si>
  <si>
    <t>Board Liaison</t>
  </si>
  <si>
    <t>QQ043456A</t>
  </si>
  <si>
    <t>22982031</t>
  </si>
  <si>
    <t>2017-09-04</t>
  </si>
  <si>
    <t>TOTAL MONTHLY PAYROLL</t>
  </si>
  <si>
    <t>NexaNet Communications  Payroll Extract  July 2026</t>
  </si>
  <si>
    <t>CONFIDENTIAL  HR-Records\Payroll  Internal use only. Company Reg. 915501328  NEXA House, Victoria Island, Lagos</t>
  </si>
  <si>
    <t>SYNTHETIC ARTEFACT FOR TRAINING PURPOSES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</si>
</sst>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9"/>
      <color rgb="FFB91C1C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4" fillId="0" borderId="1" xfId="0" applyNumberFormat="1" applyFont="1" applyBorder="1"/>
    <xf numFmtId="0" fontId="4" fillId="3" borderId="1" xfId="0" applyFont="1" applyFill="1" applyBorder="1"/>
    <xf numFmtId="4" fontId="4" fillId="3" borderId="1" xfId="0" applyNumberFormat="1" applyFont="1" applyFill="1" applyBorder="1"/>
    <xf numFmtId="0" fontId="5" fillId="0" borderId="1" xfId="0" applyFont="1" applyBorder="1"/>
    <xf numFmtId="4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13" customWidth="1"/>
    <col min="2" max="2" width="20" customWidth="1"/>
    <col min="3" max="3" width="16" customWidth="1"/>
    <col min="4" max="4" width="24" customWidth="1"/>
    <col min="5" max="5" width="12" customWidth="1"/>
    <col min="6" max="6" width="16" customWidth="1"/>
    <col min="7" max="7" width="18" customWidth="1"/>
    <col min="8" max="8" width="10" customWidth="1"/>
    <col min="9" max="9" width="12" customWidth="1"/>
    <col min="10" max="10" width="13" customWidth="1"/>
    <col min="11" max="11" width="16" customWidth="1"/>
    <col min="12" max="12" width="12" customWidth="1"/>
  </cols>
  <sheetData>
    <row r="1" spans="1:12" ht="18" x14ac:dyDescent="0.25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1" t="s">
        <v>149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0" t="s">
        <v>150</v>
      </c>
    </row>
    <row r="4" spans="1:12" ht="25.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</row>
    <row r="5" spans="1:12" x14ac:dyDescent="0.2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5">
        <v>82000</v>
      </c>
      <c r="G5" s="5">
        <f t="shared" ref="G5:G24" si="0">F5/12</f>
        <v>6833.333333333333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21</v>
      </c>
    </row>
    <row r="6" spans="1:12" x14ac:dyDescent="0.25">
      <c r="A6" s="6" t="s">
        <v>22</v>
      </c>
      <c r="B6" s="6" t="s">
        <v>23</v>
      </c>
      <c r="C6" s="6" t="s">
        <v>14</v>
      </c>
      <c r="D6" s="6" t="s">
        <v>24</v>
      </c>
      <c r="E6" s="6" t="s">
        <v>16</v>
      </c>
      <c r="F6" s="7">
        <v>34500</v>
      </c>
      <c r="G6" s="7">
        <f t="shared" si="0"/>
        <v>2875</v>
      </c>
      <c r="H6" s="6" t="s">
        <v>17</v>
      </c>
      <c r="I6" s="6" t="s">
        <v>25</v>
      </c>
      <c r="J6" s="6" t="s">
        <v>19</v>
      </c>
      <c r="K6" s="6" t="s">
        <v>26</v>
      </c>
      <c r="L6" s="6" t="s">
        <v>27</v>
      </c>
    </row>
    <row r="7" spans="1:12" x14ac:dyDescent="0.25">
      <c r="A7" s="4" t="s">
        <v>28</v>
      </c>
      <c r="B7" s="4" t="s">
        <v>29</v>
      </c>
      <c r="C7" s="4" t="s">
        <v>14</v>
      </c>
      <c r="D7" s="4" t="s">
        <v>30</v>
      </c>
      <c r="E7" s="4" t="s">
        <v>31</v>
      </c>
      <c r="F7" s="5">
        <v>41200</v>
      </c>
      <c r="G7" s="5">
        <f t="shared" si="0"/>
        <v>3433.3333333333335</v>
      </c>
      <c r="H7" s="4" t="s">
        <v>17</v>
      </c>
      <c r="I7" s="4" t="s">
        <v>32</v>
      </c>
      <c r="J7" s="4" t="s">
        <v>33</v>
      </c>
      <c r="K7" s="4" t="s">
        <v>34</v>
      </c>
      <c r="L7" s="4" t="s">
        <v>35</v>
      </c>
    </row>
    <row r="8" spans="1:12" x14ac:dyDescent="0.25">
      <c r="A8" s="6" t="s">
        <v>36</v>
      </c>
      <c r="B8" s="6" t="s">
        <v>37</v>
      </c>
      <c r="C8" s="6" t="s">
        <v>38</v>
      </c>
      <c r="D8" s="6" t="s">
        <v>39</v>
      </c>
      <c r="E8" s="6" t="s">
        <v>16</v>
      </c>
      <c r="F8" s="7">
        <v>58000</v>
      </c>
      <c r="G8" s="7">
        <f t="shared" si="0"/>
        <v>4833.333333333333</v>
      </c>
      <c r="H8" s="6" t="s">
        <v>17</v>
      </c>
      <c r="I8" s="6" t="s">
        <v>40</v>
      </c>
      <c r="J8" s="6" t="s">
        <v>19</v>
      </c>
      <c r="K8" s="6" t="s">
        <v>41</v>
      </c>
      <c r="L8" s="6" t="s">
        <v>42</v>
      </c>
    </row>
    <row r="9" spans="1:12" x14ac:dyDescent="0.25">
      <c r="A9" s="4" t="s">
        <v>43</v>
      </c>
      <c r="B9" s="4" t="s">
        <v>44</v>
      </c>
      <c r="C9" s="4" t="s">
        <v>38</v>
      </c>
      <c r="D9" s="4" t="s">
        <v>45</v>
      </c>
      <c r="E9" s="4" t="s">
        <v>16</v>
      </c>
      <c r="F9" s="5">
        <v>49500</v>
      </c>
      <c r="G9" s="5">
        <f t="shared" si="0"/>
        <v>4125</v>
      </c>
      <c r="H9" s="4" t="s">
        <v>17</v>
      </c>
      <c r="I9" s="4" t="s">
        <v>46</v>
      </c>
      <c r="J9" s="4" t="s">
        <v>19</v>
      </c>
      <c r="K9" s="4" t="s">
        <v>47</v>
      </c>
      <c r="L9" s="4" t="s">
        <v>48</v>
      </c>
    </row>
    <row r="10" spans="1:12" x14ac:dyDescent="0.25">
      <c r="A10" s="6" t="s">
        <v>49</v>
      </c>
      <c r="B10" s="6" t="s">
        <v>50</v>
      </c>
      <c r="C10" s="6" t="s">
        <v>38</v>
      </c>
      <c r="D10" s="6" t="s">
        <v>51</v>
      </c>
      <c r="E10" s="6" t="s">
        <v>31</v>
      </c>
      <c r="F10" s="7">
        <v>37800</v>
      </c>
      <c r="G10" s="7">
        <f t="shared" si="0"/>
        <v>3150</v>
      </c>
      <c r="H10" s="6" t="s">
        <v>17</v>
      </c>
      <c r="I10" s="6" t="s">
        <v>52</v>
      </c>
      <c r="J10" s="6" t="s">
        <v>33</v>
      </c>
      <c r="K10" s="6" t="s">
        <v>53</v>
      </c>
      <c r="L10" s="6" t="s">
        <v>54</v>
      </c>
    </row>
    <row r="11" spans="1:12" x14ac:dyDescent="0.25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16</v>
      </c>
      <c r="F11" s="5">
        <v>52000</v>
      </c>
      <c r="G11" s="5">
        <f t="shared" si="0"/>
        <v>4333.333333333333</v>
      </c>
      <c r="H11" s="4" t="s">
        <v>17</v>
      </c>
      <c r="I11" s="4" t="s">
        <v>59</v>
      </c>
      <c r="J11" s="4" t="s">
        <v>19</v>
      </c>
      <c r="K11" s="4" t="s">
        <v>60</v>
      </c>
      <c r="L11" s="4" t="s">
        <v>61</v>
      </c>
    </row>
    <row r="12" spans="1:12" x14ac:dyDescent="0.25">
      <c r="A12" s="6" t="s">
        <v>62</v>
      </c>
      <c r="B12" s="6" t="s">
        <v>63</v>
      </c>
      <c r="C12" s="6" t="s">
        <v>57</v>
      </c>
      <c r="D12" s="6" t="s">
        <v>64</v>
      </c>
      <c r="E12" s="6" t="s">
        <v>16</v>
      </c>
      <c r="F12" s="7">
        <v>33500</v>
      </c>
      <c r="G12" s="7">
        <f t="shared" si="0"/>
        <v>2791.6666666666665</v>
      </c>
      <c r="H12" s="6" t="s">
        <v>17</v>
      </c>
      <c r="I12" s="6" t="s">
        <v>65</v>
      </c>
      <c r="J12" s="6" t="s">
        <v>19</v>
      </c>
      <c r="K12" s="6" t="s">
        <v>66</v>
      </c>
      <c r="L12" s="6" t="s">
        <v>67</v>
      </c>
    </row>
    <row r="13" spans="1:12" x14ac:dyDescent="0.25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31</v>
      </c>
      <c r="F13" s="5">
        <v>61000</v>
      </c>
      <c r="G13" s="5">
        <f t="shared" si="0"/>
        <v>5083.333333333333</v>
      </c>
      <c r="H13" s="4" t="s">
        <v>17</v>
      </c>
      <c r="I13" s="4" t="s">
        <v>72</v>
      </c>
      <c r="J13" s="4" t="s">
        <v>33</v>
      </c>
      <c r="K13" s="4" t="s">
        <v>73</v>
      </c>
      <c r="L13" s="4" t="s">
        <v>74</v>
      </c>
    </row>
    <row r="14" spans="1:12" x14ac:dyDescent="0.25">
      <c r="A14" s="6" t="s">
        <v>75</v>
      </c>
      <c r="B14" s="6" t="s">
        <v>76</v>
      </c>
      <c r="C14" s="6" t="s">
        <v>70</v>
      </c>
      <c r="D14" s="6" t="s">
        <v>77</v>
      </c>
      <c r="E14" s="6" t="s">
        <v>16</v>
      </c>
      <c r="F14" s="7">
        <v>64500</v>
      </c>
      <c r="G14" s="7">
        <f t="shared" si="0"/>
        <v>5375</v>
      </c>
      <c r="H14" s="6" t="s">
        <v>17</v>
      </c>
      <c r="I14" s="6" t="s">
        <v>78</v>
      </c>
      <c r="J14" s="6" t="s">
        <v>19</v>
      </c>
      <c r="K14" s="6" t="s">
        <v>79</v>
      </c>
      <c r="L14" s="6" t="s">
        <v>80</v>
      </c>
    </row>
    <row r="15" spans="1:12" x14ac:dyDescent="0.25">
      <c r="A15" s="4" t="s">
        <v>81</v>
      </c>
      <c r="B15" s="4" t="s">
        <v>82</v>
      </c>
      <c r="C15" s="4" t="s">
        <v>83</v>
      </c>
      <c r="D15" s="4" t="s">
        <v>84</v>
      </c>
      <c r="E15" s="4" t="s">
        <v>16</v>
      </c>
      <c r="F15" s="5">
        <v>45000</v>
      </c>
      <c r="G15" s="5">
        <f t="shared" si="0"/>
        <v>3750</v>
      </c>
      <c r="H15" s="4" t="s">
        <v>17</v>
      </c>
      <c r="I15" s="4" t="s">
        <v>85</v>
      </c>
      <c r="J15" s="4" t="s">
        <v>19</v>
      </c>
      <c r="K15" s="4" t="s">
        <v>86</v>
      </c>
      <c r="L15" s="4" t="s">
        <v>87</v>
      </c>
    </row>
    <row r="16" spans="1:12" x14ac:dyDescent="0.25">
      <c r="A16" s="6" t="s">
        <v>88</v>
      </c>
      <c r="B16" s="6" t="s">
        <v>89</v>
      </c>
      <c r="C16" s="6" t="s">
        <v>83</v>
      </c>
      <c r="D16" s="6" t="s">
        <v>90</v>
      </c>
      <c r="E16" s="6" t="s">
        <v>16</v>
      </c>
      <c r="F16" s="7">
        <v>28500</v>
      </c>
      <c r="G16" s="7">
        <f t="shared" si="0"/>
        <v>2375</v>
      </c>
      <c r="H16" s="6" t="s">
        <v>17</v>
      </c>
      <c r="I16" s="6" t="s">
        <v>91</v>
      </c>
      <c r="J16" s="6" t="s">
        <v>19</v>
      </c>
      <c r="K16" s="6" t="s">
        <v>92</v>
      </c>
      <c r="L16" s="6" t="s">
        <v>93</v>
      </c>
    </row>
    <row r="17" spans="1:12" x14ac:dyDescent="0.25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16</v>
      </c>
      <c r="F17" s="5">
        <v>57000</v>
      </c>
      <c r="G17" s="5">
        <f t="shared" si="0"/>
        <v>4750</v>
      </c>
      <c r="H17" s="4" t="s">
        <v>17</v>
      </c>
      <c r="I17" s="4" t="s">
        <v>98</v>
      </c>
      <c r="J17" s="4" t="s">
        <v>19</v>
      </c>
      <c r="K17" s="4" t="s">
        <v>99</v>
      </c>
      <c r="L17" s="4" t="s">
        <v>100</v>
      </c>
    </row>
    <row r="18" spans="1:12" x14ac:dyDescent="0.25">
      <c r="A18" s="6" t="s">
        <v>101</v>
      </c>
      <c r="B18" s="6" t="s">
        <v>102</v>
      </c>
      <c r="C18" s="6" t="s">
        <v>96</v>
      </c>
      <c r="D18" s="6" t="s">
        <v>103</v>
      </c>
      <c r="E18" s="6" t="s">
        <v>16</v>
      </c>
      <c r="F18" s="7">
        <v>48000</v>
      </c>
      <c r="G18" s="7">
        <f t="shared" si="0"/>
        <v>4000</v>
      </c>
      <c r="H18" s="6" t="s">
        <v>17</v>
      </c>
      <c r="I18" s="6" t="s">
        <v>104</v>
      </c>
      <c r="J18" s="6" t="s">
        <v>19</v>
      </c>
      <c r="K18" s="6" t="s">
        <v>105</v>
      </c>
      <c r="L18" s="6" t="s">
        <v>106</v>
      </c>
    </row>
    <row r="19" spans="1:12" x14ac:dyDescent="0.25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31</v>
      </c>
      <c r="F19" s="5">
        <v>53500</v>
      </c>
      <c r="G19" s="5">
        <f t="shared" si="0"/>
        <v>4458.333333333333</v>
      </c>
      <c r="H19" s="4" t="s">
        <v>17</v>
      </c>
      <c r="I19" s="4" t="s">
        <v>111</v>
      </c>
      <c r="J19" s="4" t="s">
        <v>33</v>
      </c>
      <c r="K19" s="4" t="s">
        <v>112</v>
      </c>
      <c r="L19" s="4" t="s">
        <v>113</v>
      </c>
    </row>
    <row r="20" spans="1:12" x14ac:dyDescent="0.25">
      <c r="A20" s="6" t="s">
        <v>114</v>
      </c>
      <c r="B20" s="6" t="s">
        <v>115</v>
      </c>
      <c r="C20" s="6" t="s">
        <v>116</v>
      </c>
      <c r="D20" s="6" t="s">
        <v>117</v>
      </c>
      <c r="E20" s="6" t="s">
        <v>16</v>
      </c>
      <c r="F20" s="7">
        <v>46500</v>
      </c>
      <c r="G20" s="7">
        <f t="shared" si="0"/>
        <v>3875</v>
      </c>
      <c r="H20" s="6" t="s">
        <v>17</v>
      </c>
      <c r="I20" s="6" t="s">
        <v>118</v>
      </c>
      <c r="J20" s="6" t="s">
        <v>19</v>
      </c>
      <c r="K20" s="6" t="s">
        <v>119</v>
      </c>
      <c r="L20" s="6" t="s">
        <v>120</v>
      </c>
    </row>
    <row r="21" spans="1:12" x14ac:dyDescent="0.25">
      <c r="A21" s="4" t="s">
        <v>121</v>
      </c>
      <c r="B21" s="4" t="s">
        <v>122</v>
      </c>
      <c r="C21" s="4" t="s">
        <v>116</v>
      </c>
      <c r="D21" s="4" t="s">
        <v>123</v>
      </c>
      <c r="E21" s="4" t="s">
        <v>16</v>
      </c>
      <c r="F21" s="5">
        <v>38000</v>
      </c>
      <c r="G21" s="5">
        <f t="shared" si="0"/>
        <v>3166.6666666666665</v>
      </c>
      <c r="H21" s="4" t="s">
        <v>17</v>
      </c>
      <c r="I21" s="4" t="s">
        <v>124</v>
      </c>
      <c r="J21" s="4" t="s">
        <v>19</v>
      </c>
      <c r="K21" s="4" t="s">
        <v>125</v>
      </c>
      <c r="L21" s="4" t="s">
        <v>126</v>
      </c>
    </row>
    <row r="22" spans="1:12" x14ac:dyDescent="0.25">
      <c r="A22" s="6" t="s">
        <v>127</v>
      </c>
      <c r="B22" s="6" t="s">
        <v>128</v>
      </c>
      <c r="C22" s="6" t="s">
        <v>129</v>
      </c>
      <c r="D22" s="6" t="s">
        <v>130</v>
      </c>
      <c r="E22" s="6" t="s">
        <v>16</v>
      </c>
      <c r="F22" s="7">
        <v>44000</v>
      </c>
      <c r="G22" s="7">
        <f t="shared" si="0"/>
        <v>3666.6666666666665</v>
      </c>
      <c r="H22" s="6" t="s">
        <v>17</v>
      </c>
      <c r="I22" s="6" t="s">
        <v>131</v>
      </c>
      <c r="J22" s="6" t="s">
        <v>19</v>
      </c>
      <c r="K22" s="6" t="s">
        <v>132</v>
      </c>
      <c r="L22" s="6" t="s">
        <v>133</v>
      </c>
    </row>
    <row r="23" spans="1:12" x14ac:dyDescent="0.25">
      <c r="A23" s="4" t="s">
        <v>134</v>
      </c>
      <c r="B23" s="4" t="s">
        <v>135</v>
      </c>
      <c r="C23" s="4" t="s">
        <v>136</v>
      </c>
      <c r="D23" s="4" t="s">
        <v>137</v>
      </c>
      <c r="E23" s="4" t="s">
        <v>16</v>
      </c>
      <c r="F23" s="5">
        <v>39500</v>
      </c>
      <c r="G23" s="5">
        <f t="shared" si="0"/>
        <v>3291.6666666666665</v>
      </c>
      <c r="H23" s="4" t="s">
        <v>17</v>
      </c>
      <c r="I23" s="4" t="s">
        <v>138</v>
      </c>
      <c r="J23" s="4" t="s">
        <v>19</v>
      </c>
      <c r="K23" s="4" t="s">
        <v>139</v>
      </c>
      <c r="L23" s="4" t="s">
        <v>140</v>
      </c>
    </row>
    <row r="24" spans="1:12" x14ac:dyDescent="0.25">
      <c r="A24" s="6" t="s">
        <v>141</v>
      </c>
      <c r="B24" s="6" t="s">
        <v>142</v>
      </c>
      <c r="C24" s="6" t="s">
        <v>136</v>
      </c>
      <c r="D24" s="6" t="s">
        <v>143</v>
      </c>
      <c r="E24" s="6" t="s">
        <v>31</v>
      </c>
      <c r="F24" s="7">
        <v>67500</v>
      </c>
      <c r="G24" s="7">
        <f t="shared" si="0"/>
        <v>5625</v>
      </c>
      <c r="H24" s="6" t="s">
        <v>17</v>
      </c>
      <c r="I24" s="6" t="s">
        <v>144</v>
      </c>
      <c r="J24" s="6" t="s">
        <v>33</v>
      </c>
      <c r="K24" s="6" t="s">
        <v>145</v>
      </c>
      <c r="L24" s="6" t="s">
        <v>146</v>
      </c>
    </row>
    <row r="25" spans="1:12" x14ac:dyDescent="0.25">
      <c r="E25" s="8" t="s">
        <v>147</v>
      </c>
      <c r="G25" s="9">
        <f>SUM(G5:G24)</f>
        <v>81791.666666666686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</cp:lastModifiedBy>
  <cp:revision>0</cp:revision>
  <dcterms:created xsi:type="dcterms:W3CDTF">2026-08-21T21:58:32Z</dcterms:created>
  <dcterms:modified xsi:type="dcterms:W3CDTF">2026-08-24T19:06:08Z</dcterms:modified>
  <dc:language>en-US</dc:language>
</cp:coreProperties>
</file>