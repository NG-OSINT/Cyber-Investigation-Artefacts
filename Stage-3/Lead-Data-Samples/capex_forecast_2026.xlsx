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el\Desktop\Strand 1\19 Leaked sample data teaser\"/>
    </mc:Choice>
  </mc:AlternateContent>
  <xr:revisionPtr revIDLastSave="0" documentId="13_ncr:1_{BE20E5A0-EA16-4BFB-80D1-1BF2623BC15B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Summary" sheetId="1" r:id="rId1"/>
    <sheet name="Network" sheetId="2" r:id="rId2"/>
    <sheet name="IT &amp; Systems" sheetId="3" r:id="rId3"/>
    <sheet name="Property &amp; Faciliti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<sst xmlns="http://schemas.openxmlformats.org/spreadsheetml/2006/main" count="130" uniqueCount="89">
  <si>
    <t>Category</t>
  </si>
  <si>
    <t>Q1 Actual (GBP 000s)</t>
  </si>
  <si>
    <t>Q2 Actual (GBP 000s)</t>
  </si>
  <si>
    <t>Q3 Forecast (GBP 000s)</t>
  </si>
  <si>
    <t>Q4 Forecast (GBP 000s)</t>
  </si>
  <si>
    <t>FY2026 Total (GBP 000s)</t>
  </si>
  <si>
    <t>Network &amp; Core Infrastructure</t>
  </si>
  <si>
    <t>IT &amp; Systems</t>
  </si>
  <si>
    <t>Property &amp; Facilities</t>
  </si>
  <si>
    <t>Vehicles &amp; Field Equipment</t>
  </si>
  <si>
    <t>Customer Premises Equipment</t>
  </si>
  <si>
    <t>TOTAL</t>
  </si>
  <si>
    <t>Line Item</t>
  </si>
  <si>
    <t>Vendor / Contractor</t>
  </si>
  <si>
    <t>Approval Status</t>
  </si>
  <si>
    <t>PO Reference</t>
  </si>
  <si>
    <t>Notes</t>
  </si>
  <si>
    <t>Lagos–Abuja backbone fibre extension</t>
  </si>
  <si>
    <t>Ridgeline Fibre Contractors Ltd</t>
  </si>
  <si>
    <t>Approved</t>
  </si>
  <si>
    <t>NX-PO-2026-0512</t>
  </si>
  <si>
    <t>See backbone_fibre_route_map.vsdx; NDA on file NX-VND-NDA-2026-0146</t>
  </si>
  <si>
    <t>Internal Engineering</t>
  </si>
  <si>
    <t>NX-PO-2026-0498</t>
  </si>
  <si>
    <t>See core_upgrade_maintenance_window.vsdx</t>
  </si>
  <si>
    <t>Vendor TBC (RFP in progress)</t>
  </si>
  <si>
    <t>Pending Board Sign-off</t>
  </si>
  <si>
    <t>—</t>
  </si>
  <si>
    <t>See rfp_response_fibre_supplier.docx for related civils</t>
  </si>
  <si>
    <t>In Progress</t>
  </si>
  <si>
    <t>NX-PO-2026-0455</t>
  </si>
  <si>
    <t>See core_capacity_plan_2026.vsdx</t>
  </si>
  <si>
    <t>NX-PO-2026-0533</t>
  </si>
  <si>
    <t>See network_change_request_batch14.pptx</t>
  </si>
  <si>
    <t>BGP peering hardware refresh</t>
  </si>
  <si>
    <t>NX-PO-2026-0470</t>
  </si>
  <si>
    <t>See bgp_peering_config_summary.xlsx</t>
  </si>
  <si>
    <t>Vendor</t>
  </si>
  <si>
    <t>SIEM / EDR platform upgrade</t>
  </si>
  <si>
    <t>Vendor TBC</t>
  </si>
  <si>
    <t>Deferred from Q2 following NOC resourcing review; see noc_shift_handover_log.xlsx</t>
  </si>
  <si>
    <t>Backup infrastructure refresh (fileserver01/exchange)</t>
  </si>
  <si>
    <t>Internal IT</t>
  </si>
  <si>
    <t>NX-PO-2026-0501</t>
  </si>
  <si>
    <t>See backup_manifest_fileserver01.xlsx, backup_manifest_exchange.xlsx</t>
  </si>
  <si>
    <t>Endpoint asset inventory tooling renewal</t>
  </si>
  <si>
    <t>NX-PO-2026-0487</t>
  </si>
  <si>
    <t>See asset_register_network_hardware.xlsx</t>
  </si>
  <si>
    <t>Software licence consolidation</t>
  </si>
  <si>
    <t>Various</t>
  </si>
  <si>
    <t>NX-PO-2026-0511</t>
  </si>
  <si>
    <t>See software_licence_tracker.xlsx</t>
  </si>
  <si>
    <t>NX-PO-2026-0522</t>
  </si>
  <si>
    <t>See laptop_deployment_log.xlsx</t>
  </si>
  <si>
    <t>Customer portal DPIA remediation</t>
  </si>
  <si>
    <t>Internal IT / Legal</t>
  </si>
  <si>
    <t>NX-PO-2026-0530</t>
  </si>
  <si>
    <t>See gdpr_dpia_customer_portal.docx</t>
  </si>
  <si>
    <t>ArcticFlow Cooling Systems Ltd</t>
  </si>
  <si>
    <t>NX-PO-2026-0519</t>
  </si>
  <si>
    <t>See invoice_datacentre_cooling.docx</t>
  </si>
  <si>
    <t>Standby generator maintenance programme</t>
  </si>
  <si>
    <t>Internal Field Maintenance</t>
  </si>
  <si>
    <t>NX-PO-2026-0503</t>
  </si>
  <si>
    <t>See generator_maintenance_schedule.xlsx</t>
  </si>
  <si>
    <t>NX-PO-2026-0515</t>
  </si>
  <si>
    <t>NX-PO-2026-0508</t>
  </si>
  <si>
    <t>See site_survey_tower_442.pdf</t>
  </si>
  <si>
    <t>Ongoing</t>
  </si>
  <si>
    <t>See cable_fault_repair_log.xlsx</t>
  </si>
  <si>
    <t>NexaNet Communications  Capex Forecast 2026 (Full Year)</t>
  </si>
  <si>
    <t>CONFIDENTIAL  Finance-Archive\Budgets  Internal use only. Company Reg. 915501328  NEXA House, Victoria Island, Lagos</t>
  </si>
  <si>
    <t>Network &amp; Core Infrastructure  Capex Detail</t>
  </si>
  <si>
    <t>CONFIDENTIAL  Engineering\CoreNetwork / Finance-Archive\Budgets  Internal use only. Company Reg. 915501328  NEXA House, Victoria Island, Lagos</t>
  </si>
  <si>
    <t>Core routing frame upgrade  Victoria Island</t>
  </si>
  <si>
    <t>5G RAN equipment  Phase 2 sites</t>
  </si>
  <si>
    <t>Core capacity expansion  2026 plan</t>
  </si>
  <si>
    <t>Tower civil works  batch 14</t>
  </si>
  <si>
    <t>IT &amp; Systems  Capex Detail</t>
  </si>
  <si>
    <t>CONFIDENTIAL  IT\AssetInventory / Finance-Archive\Budgets  Internal use only. Company Reg. 915501328  NEXA House, Victoria Island, Lagos</t>
  </si>
  <si>
    <t>Deferred to Q4  budget re-prioritised</t>
  </si>
  <si>
    <t>Laptop deployment  new starters H2</t>
  </si>
  <si>
    <t>Property &amp; Facilities  Capex Detail</t>
  </si>
  <si>
    <t>CONFIDENTIAL  Engineering\FieldMaintenance / Finance-Archive\Budgets  Internal use only. Company Reg. 915501328  NEXA House, Victoria Island, Lagos</t>
  </si>
  <si>
    <t>Datacentre cooling system upgrade  Victoria Island</t>
  </si>
  <si>
    <t>Office fit-out  Lagos HQ 3rd floor</t>
  </si>
  <si>
    <t>Site survey and access remediation  tower 442</t>
  </si>
  <si>
    <t>Fault repair contingency  cable network</t>
  </si>
  <si>
    <t>TRAINING ARTEFACT - Operation GreyHarbour - synthetic content, no real infrastructure or credentials represented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</si>
</sst>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i/>
      <sz val="9"/>
      <color rgb="FFB91C1C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9F9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3" fontId="4" fillId="3" borderId="1" xfId="0" applyNumberFormat="1" applyFont="1" applyFill="1" applyBorder="1"/>
    <xf numFmtId="0" fontId="5" fillId="0" borderId="1" xfId="0" applyFont="1" applyBorder="1"/>
    <xf numFmtId="3" fontId="5" fillId="0" borderId="1" xfId="0" applyNumberFormat="1" applyFont="1" applyBorder="1"/>
    <xf numFmtId="0" fontId="4" fillId="3" borderId="1" xfId="0" applyFont="1" applyFill="1" applyBorder="1"/>
    <xf numFmtId="0" fontId="1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Capex by Category and Quarter (GBP 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Q1 Actual (GBP 000s)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Network &amp; Core Infrastructure</c:v>
                </c:pt>
                <c:pt idx="1">
                  <c:v>IT &amp; Systems</c:v>
                </c:pt>
                <c:pt idx="2">
                  <c:v>Property &amp; Facilities</c:v>
                </c:pt>
                <c:pt idx="3">
                  <c:v>Vehicles &amp; Field Equipment</c:v>
                </c:pt>
                <c:pt idx="4">
                  <c:v>Customer Premises Equipment</c:v>
                </c:pt>
              </c:strCache>
            </c:strRef>
          </c:cat>
          <c:val>
            <c:numRef>
              <c:f>Summary!$B$5:$B$9</c:f>
              <c:numCache>
                <c:formatCode>#,##0</c:formatCode>
                <c:ptCount val="5"/>
                <c:pt idx="0">
                  <c:v>1840</c:v>
                </c:pt>
                <c:pt idx="1">
                  <c:v>320</c:v>
                </c:pt>
                <c:pt idx="2">
                  <c:v>480</c:v>
                </c:pt>
                <c:pt idx="3">
                  <c:v>150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B-4C23-82B3-49BCE60E74BC}"/>
            </c:ext>
          </c:extLst>
        </c:ser>
        <c:ser>
          <c:idx val="1"/>
          <c:order val="1"/>
          <c:tx>
            <c:strRef>
              <c:f>Summary!$C$4</c:f>
              <c:strCache>
                <c:ptCount val="1"/>
                <c:pt idx="0">
                  <c:v>Q2 Actual (GBP 000s)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Network &amp; Core Infrastructure</c:v>
                </c:pt>
                <c:pt idx="1">
                  <c:v>IT &amp; Systems</c:v>
                </c:pt>
                <c:pt idx="2">
                  <c:v>Property &amp; Facilities</c:v>
                </c:pt>
                <c:pt idx="3">
                  <c:v>Vehicles &amp; Field Equipment</c:v>
                </c:pt>
                <c:pt idx="4">
                  <c:v>Customer Premises Equipment</c:v>
                </c:pt>
              </c:strCache>
            </c:strRef>
          </c:cat>
          <c:val>
            <c:numRef>
              <c:f>Summary!$C$5:$C$9</c:f>
              <c:numCache>
                <c:formatCode>#,##0</c:formatCode>
                <c:ptCount val="5"/>
                <c:pt idx="0">
                  <c:v>2110</c:v>
                </c:pt>
                <c:pt idx="1">
                  <c:v>410</c:v>
                </c:pt>
                <c:pt idx="2">
                  <c:v>390</c:v>
                </c:pt>
                <c:pt idx="3">
                  <c:v>165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B-4C23-82B3-49BCE60E74BC}"/>
            </c:ext>
          </c:extLst>
        </c:ser>
        <c:ser>
          <c:idx val="2"/>
          <c:order val="2"/>
          <c:tx>
            <c:strRef>
              <c:f>Summary!$D$4</c:f>
              <c:strCache>
                <c:ptCount val="1"/>
                <c:pt idx="0">
                  <c:v>Q3 Forecast (GBP 000s)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Network &amp; Core Infrastructure</c:v>
                </c:pt>
                <c:pt idx="1">
                  <c:v>IT &amp; Systems</c:v>
                </c:pt>
                <c:pt idx="2">
                  <c:v>Property &amp; Facilities</c:v>
                </c:pt>
                <c:pt idx="3">
                  <c:v>Vehicles &amp; Field Equipment</c:v>
                </c:pt>
                <c:pt idx="4">
                  <c:v>Customer Premises Equipment</c:v>
                </c:pt>
              </c:strCache>
            </c:strRef>
          </c:cat>
          <c:val>
            <c:numRef>
              <c:f>Summary!$D$5:$D$9</c:f>
              <c:numCache>
                <c:formatCode>#,##0</c:formatCode>
                <c:ptCount val="5"/>
                <c:pt idx="0">
                  <c:v>2450</c:v>
                </c:pt>
                <c:pt idx="1">
                  <c:v>260</c:v>
                </c:pt>
                <c:pt idx="2">
                  <c:v>610</c:v>
                </c:pt>
                <c:pt idx="3">
                  <c:v>140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B-4C23-82B3-49BCE60E74BC}"/>
            </c:ext>
          </c:extLst>
        </c:ser>
        <c:ser>
          <c:idx val="3"/>
          <c:order val="3"/>
          <c:tx>
            <c:strRef>
              <c:f>Summary!$E$4</c:f>
              <c:strCache>
                <c:ptCount val="1"/>
                <c:pt idx="0">
                  <c:v>Q4 Forecast (GBP 000s)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Network &amp; Core Infrastructure</c:v>
                </c:pt>
                <c:pt idx="1">
                  <c:v>IT &amp; Systems</c:v>
                </c:pt>
                <c:pt idx="2">
                  <c:v>Property &amp; Facilities</c:v>
                </c:pt>
                <c:pt idx="3">
                  <c:v>Vehicles &amp; Field Equipment</c:v>
                </c:pt>
                <c:pt idx="4">
                  <c:v>Customer Premises Equipment</c:v>
                </c:pt>
              </c:strCache>
            </c:strRef>
          </c:cat>
          <c:val>
            <c:numRef>
              <c:f>Summary!$E$5:$E$9</c:f>
              <c:numCache>
                <c:formatCode>#,##0</c:formatCode>
                <c:ptCount val="5"/>
                <c:pt idx="0">
                  <c:v>2600</c:v>
                </c:pt>
                <c:pt idx="1">
                  <c:v>590</c:v>
                </c:pt>
                <c:pt idx="2">
                  <c:v>340</c:v>
                </c:pt>
                <c:pt idx="3">
                  <c:v>180</c:v>
                </c:pt>
                <c:pt idx="4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CB-4C23-82B3-49BCE60E7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036028"/>
        <c:axId val="82462763"/>
      </c:barChart>
      <c:catAx>
        <c:axId val="950360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62763"/>
        <c:crosses val="autoZero"/>
        <c:auto val="1"/>
        <c:lblAlgn val="ctr"/>
        <c:lblOffset val="100"/>
        <c:noMultiLvlLbl val="0"/>
      </c:catAx>
      <c:valAx>
        <c:axId val="82462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GBP 000s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36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FY2026 Capex Split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112-462B-B734-AD66626867E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112-462B-B734-AD66626867E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112-462B-B734-AD66626867E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112-462B-B734-AD66626867E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112-462B-B734-AD66626867E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12-462B-B734-AD66626867E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12-462B-B734-AD66626867E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112-462B-B734-AD66626867E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112-462B-B734-AD66626867E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112-462B-B734-AD66626867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Summary!$A$5:$A$9</c:f>
              <c:strCache>
                <c:ptCount val="5"/>
                <c:pt idx="0">
                  <c:v>Network &amp; Core Infrastructure</c:v>
                </c:pt>
                <c:pt idx="1">
                  <c:v>IT &amp; Systems</c:v>
                </c:pt>
                <c:pt idx="2">
                  <c:v>Property &amp; Facilities</c:v>
                </c:pt>
                <c:pt idx="3">
                  <c:v>Vehicles &amp; Field Equipment</c:v>
                </c:pt>
                <c:pt idx="4">
                  <c:v>Customer Premises Equipment</c:v>
                </c:pt>
              </c:strCache>
            </c:strRef>
          </c:cat>
          <c:val>
            <c:numRef>
              <c:f>Summary!$F$5:$F$9</c:f>
              <c:numCache>
                <c:formatCode>#,##0</c:formatCode>
                <c:ptCount val="5"/>
                <c:pt idx="0">
                  <c:v>9000</c:v>
                </c:pt>
                <c:pt idx="1">
                  <c:v>1580</c:v>
                </c:pt>
                <c:pt idx="2">
                  <c:v>1820</c:v>
                </c:pt>
                <c:pt idx="3">
                  <c:v>635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12-462B-B734-AD6662686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48240</xdr:rowOff>
    </xdr:from>
    <xdr:to>
      <xdr:col>5</xdr:col>
      <xdr:colOff>574200</xdr:colOff>
      <xdr:row>28</xdr:row>
      <xdr:rowOff>49320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48240</xdr:rowOff>
    </xdr:from>
    <xdr:to>
      <xdr:col>15</xdr:col>
      <xdr:colOff>147600</xdr:colOff>
      <xdr:row>28</xdr:row>
      <xdr:rowOff>49320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Normal="100" workbookViewId="0">
      <pane ySplit="4" topLeftCell="A5" activePane="bottomLeft" state="frozen"/>
      <selection pane="bottomLeft" activeCell="A3" sqref="A3"/>
    </sheetView>
  </sheetViews>
  <sheetFormatPr defaultColWidth="8.7109375" defaultRowHeight="15" x14ac:dyDescent="0.25"/>
  <cols>
    <col min="1" max="1" width="30" customWidth="1"/>
    <col min="2" max="5" width="16" customWidth="1"/>
    <col min="6" max="6" width="18" customWidth="1"/>
  </cols>
  <sheetData>
    <row r="1" spans="1:6" ht="18" x14ac:dyDescent="0.25">
      <c r="A1" s="8" t="s">
        <v>70</v>
      </c>
      <c r="B1" s="8"/>
      <c r="C1" s="8"/>
      <c r="D1" s="8"/>
      <c r="E1" s="8"/>
      <c r="F1" s="8"/>
    </row>
    <row r="2" spans="1:6" x14ac:dyDescent="0.25">
      <c r="A2" s="9" t="s">
        <v>71</v>
      </c>
      <c r="B2" s="9"/>
      <c r="C2" s="9"/>
      <c r="D2" s="9"/>
      <c r="E2" s="9"/>
      <c r="F2" s="9"/>
    </row>
    <row r="3" spans="1:6" x14ac:dyDescent="0.25">
      <c r="A3" s="10" t="s">
        <v>88</v>
      </c>
    </row>
    <row r="4" spans="1:6" ht="25.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25">
      <c r="A5" s="2" t="s">
        <v>6</v>
      </c>
      <c r="B5" s="3">
        <v>1840</v>
      </c>
      <c r="C5" s="3">
        <v>2110</v>
      </c>
      <c r="D5" s="3">
        <v>2450</v>
      </c>
      <c r="E5" s="3">
        <v>2600</v>
      </c>
      <c r="F5" s="3">
        <f>SUM(B5:E5)</f>
        <v>9000</v>
      </c>
    </row>
    <row r="6" spans="1:6" x14ac:dyDescent="0.25">
      <c r="A6" s="2" t="s">
        <v>7</v>
      </c>
      <c r="B6" s="4">
        <v>320</v>
      </c>
      <c r="C6" s="4">
        <v>410</v>
      </c>
      <c r="D6" s="4">
        <v>260</v>
      </c>
      <c r="E6" s="4">
        <v>590</v>
      </c>
      <c r="F6" s="4">
        <f>SUM(B6:E6)</f>
        <v>1580</v>
      </c>
    </row>
    <row r="7" spans="1:6" x14ac:dyDescent="0.25">
      <c r="A7" s="2" t="s">
        <v>8</v>
      </c>
      <c r="B7" s="3">
        <v>480</v>
      </c>
      <c r="C7" s="3">
        <v>390</v>
      </c>
      <c r="D7" s="3">
        <v>610</v>
      </c>
      <c r="E7" s="3">
        <v>340</v>
      </c>
      <c r="F7" s="3">
        <f>SUM(B7:E7)</f>
        <v>1820</v>
      </c>
    </row>
    <row r="8" spans="1:6" x14ac:dyDescent="0.25">
      <c r="A8" s="2" t="s">
        <v>9</v>
      </c>
      <c r="B8" s="4">
        <v>150</v>
      </c>
      <c r="C8" s="4">
        <v>165</v>
      </c>
      <c r="D8" s="4">
        <v>140</v>
      </c>
      <c r="E8" s="4">
        <v>180</v>
      </c>
      <c r="F8" s="4">
        <f>SUM(B8:E8)</f>
        <v>635</v>
      </c>
    </row>
    <row r="9" spans="1:6" x14ac:dyDescent="0.25">
      <c r="A9" s="2" t="s">
        <v>10</v>
      </c>
      <c r="B9" s="3">
        <v>90</v>
      </c>
      <c r="C9" s="3">
        <v>140</v>
      </c>
      <c r="D9" s="3">
        <v>175</v>
      </c>
      <c r="E9" s="3">
        <v>205</v>
      </c>
      <c r="F9" s="3">
        <f>SUM(B9:E9)</f>
        <v>610</v>
      </c>
    </row>
    <row r="10" spans="1:6" x14ac:dyDescent="0.25">
      <c r="A10" s="5" t="s">
        <v>11</v>
      </c>
      <c r="B10" s="6">
        <f>SUM(B5:B9)</f>
        <v>2880</v>
      </c>
      <c r="C10" s="6">
        <f>SUM(C5:C9)</f>
        <v>3215</v>
      </c>
      <c r="D10" s="6">
        <f>SUM(D5:D9)</f>
        <v>3635</v>
      </c>
      <c r="E10" s="6">
        <f>SUM(E5:E9)</f>
        <v>3915</v>
      </c>
      <c r="F10" s="6">
        <f>SUM(F5:F9)</f>
        <v>13645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zoomScaleNormal="100" workbookViewId="0">
      <pane ySplit="4" topLeftCell="A5" activePane="bottomLeft" state="frozen"/>
      <selection pane="bottomLeft" activeCell="A3" sqref="A3"/>
    </sheetView>
  </sheetViews>
  <sheetFormatPr defaultColWidth="8.7109375" defaultRowHeight="15" x14ac:dyDescent="0.25"/>
  <cols>
    <col min="1" max="1" width="34" customWidth="1"/>
    <col min="2" max="2" width="26" customWidth="1"/>
    <col min="3" max="3" width="20" customWidth="1"/>
    <col min="4" max="6" width="16" customWidth="1"/>
    <col min="7" max="7" width="44" customWidth="1"/>
  </cols>
  <sheetData>
    <row r="1" spans="1:7" ht="18" x14ac:dyDescent="0.25">
      <c r="A1" s="8" t="s">
        <v>72</v>
      </c>
      <c r="B1" s="8"/>
      <c r="C1" s="8"/>
      <c r="D1" s="8"/>
      <c r="E1" s="8"/>
      <c r="F1" s="8"/>
      <c r="G1" s="8"/>
    </row>
    <row r="2" spans="1:7" x14ac:dyDescent="0.25">
      <c r="A2" s="9" t="s">
        <v>73</v>
      </c>
      <c r="B2" s="9"/>
      <c r="C2" s="9"/>
      <c r="D2" s="9"/>
      <c r="E2" s="9"/>
      <c r="F2" s="9"/>
      <c r="G2" s="9"/>
    </row>
    <row r="3" spans="1:7" x14ac:dyDescent="0.25">
      <c r="A3" s="10" t="s">
        <v>88</v>
      </c>
    </row>
    <row r="4" spans="1:7" ht="25.5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3</v>
      </c>
      <c r="F4" s="1" t="s">
        <v>4</v>
      </c>
      <c r="G4" s="1" t="s">
        <v>16</v>
      </c>
    </row>
    <row r="5" spans="1:7" x14ac:dyDescent="0.25">
      <c r="A5" s="2" t="s">
        <v>17</v>
      </c>
      <c r="B5" s="2" t="s">
        <v>18</v>
      </c>
      <c r="C5" s="2" t="s">
        <v>19</v>
      </c>
      <c r="D5" s="2" t="s">
        <v>20</v>
      </c>
      <c r="E5" s="3">
        <v>620</v>
      </c>
      <c r="F5" s="3">
        <v>480</v>
      </c>
      <c r="G5" s="2" t="s">
        <v>21</v>
      </c>
    </row>
    <row r="6" spans="1:7" x14ac:dyDescent="0.25">
      <c r="A6" s="7" t="s">
        <v>74</v>
      </c>
      <c r="B6" s="7" t="s">
        <v>22</v>
      </c>
      <c r="C6" s="7" t="s">
        <v>19</v>
      </c>
      <c r="D6" s="7" t="s">
        <v>23</v>
      </c>
      <c r="E6" s="4">
        <v>340</v>
      </c>
      <c r="F6" s="4">
        <v>0</v>
      </c>
      <c r="G6" s="7" t="s">
        <v>24</v>
      </c>
    </row>
    <row r="7" spans="1:7" x14ac:dyDescent="0.25">
      <c r="A7" s="2" t="s">
        <v>75</v>
      </c>
      <c r="B7" s="2" t="s">
        <v>25</v>
      </c>
      <c r="C7" s="2" t="s">
        <v>26</v>
      </c>
      <c r="D7" s="2" t="s">
        <v>27</v>
      </c>
      <c r="E7" s="3">
        <v>810</v>
      </c>
      <c r="F7" s="3">
        <v>950</v>
      </c>
      <c r="G7" s="2" t="s">
        <v>28</v>
      </c>
    </row>
    <row r="8" spans="1:7" x14ac:dyDescent="0.25">
      <c r="A8" s="7" t="s">
        <v>76</v>
      </c>
      <c r="B8" s="7" t="s">
        <v>22</v>
      </c>
      <c r="C8" s="7" t="s">
        <v>29</v>
      </c>
      <c r="D8" s="7" t="s">
        <v>30</v>
      </c>
      <c r="E8" s="4">
        <v>410</v>
      </c>
      <c r="F8" s="4">
        <v>520</v>
      </c>
      <c r="G8" s="7" t="s">
        <v>31</v>
      </c>
    </row>
    <row r="9" spans="1:7" x14ac:dyDescent="0.25">
      <c r="A9" s="2" t="s">
        <v>77</v>
      </c>
      <c r="B9" s="2" t="s">
        <v>18</v>
      </c>
      <c r="C9" s="2" t="s">
        <v>19</v>
      </c>
      <c r="D9" s="2" t="s">
        <v>32</v>
      </c>
      <c r="E9" s="3">
        <v>270</v>
      </c>
      <c r="F9" s="3">
        <v>350</v>
      </c>
      <c r="G9" s="2" t="s">
        <v>33</v>
      </c>
    </row>
    <row r="10" spans="1:7" x14ac:dyDescent="0.25">
      <c r="A10" s="7" t="s">
        <v>34</v>
      </c>
      <c r="B10" s="7" t="s">
        <v>22</v>
      </c>
      <c r="C10" s="7" t="s">
        <v>19</v>
      </c>
      <c r="D10" s="7" t="s">
        <v>35</v>
      </c>
      <c r="E10" s="4">
        <v>0</v>
      </c>
      <c r="F10" s="4">
        <v>300</v>
      </c>
      <c r="G10" s="7" t="s">
        <v>36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Normal="100" workbookViewId="0">
      <pane ySplit="4" topLeftCell="A5" activePane="bottomLeft" state="frozen"/>
      <selection pane="bottomLeft" activeCell="A3" sqref="A3"/>
    </sheetView>
  </sheetViews>
  <sheetFormatPr defaultColWidth="8.7109375" defaultRowHeight="15" x14ac:dyDescent="0.25"/>
  <cols>
    <col min="1" max="1" width="34" customWidth="1"/>
    <col min="2" max="2" width="26" customWidth="1"/>
    <col min="3" max="3" width="20" customWidth="1"/>
    <col min="4" max="6" width="16" customWidth="1"/>
    <col min="7" max="7" width="44" customWidth="1"/>
  </cols>
  <sheetData>
    <row r="1" spans="1:7" ht="18" x14ac:dyDescent="0.25">
      <c r="A1" s="8" t="s">
        <v>78</v>
      </c>
      <c r="B1" s="8"/>
      <c r="C1" s="8"/>
      <c r="D1" s="8"/>
      <c r="E1" s="8"/>
      <c r="F1" s="8"/>
      <c r="G1" s="8"/>
    </row>
    <row r="2" spans="1:7" x14ac:dyDescent="0.25">
      <c r="A2" s="9" t="s">
        <v>79</v>
      </c>
      <c r="B2" s="9"/>
      <c r="C2" s="9"/>
      <c r="D2" s="9"/>
      <c r="E2" s="9"/>
      <c r="F2" s="9"/>
      <c r="G2" s="9"/>
    </row>
    <row r="3" spans="1:7" x14ac:dyDescent="0.25">
      <c r="A3" s="10" t="s">
        <v>88</v>
      </c>
    </row>
    <row r="4" spans="1:7" ht="25.5" x14ac:dyDescent="0.25">
      <c r="A4" s="1" t="s">
        <v>12</v>
      </c>
      <c r="B4" s="1" t="s">
        <v>37</v>
      </c>
      <c r="C4" s="1" t="s">
        <v>14</v>
      </c>
      <c r="D4" s="1" t="s">
        <v>15</v>
      </c>
      <c r="E4" s="1" t="s">
        <v>3</v>
      </c>
      <c r="F4" s="1" t="s">
        <v>4</v>
      </c>
      <c r="G4" s="1" t="s">
        <v>16</v>
      </c>
    </row>
    <row r="5" spans="1:7" x14ac:dyDescent="0.25">
      <c r="A5" s="2" t="s">
        <v>38</v>
      </c>
      <c r="B5" s="2" t="s">
        <v>39</v>
      </c>
      <c r="C5" s="2" t="s">
        <v>80</v>
      </c>
      <c r="D5" s="2" t="s">
        <v>27</v>
      </c>
      <c r="E5" s="3">
        <v>0</v>
      </c>
      <c r="F5" s="3">
        <v>180</v>
      </c>
      <c r="G5" s="2" t="s">
        <v>40</v>
      </c>
    </row>
    <row r="6" spans="1:7" x14ac:dyDescent="0.25">
      <c r="A6" s="7" t="s">
        <v>41</v>
      </c>
      <c r="B6" s="7" t="s">
        <v>42</v>
      </c>
      <c r="C6" s="7" t="s">
        <v>19</v>
      </c>
      <c r="D6" s="7" t="s">
        <v>43</v>
      </c>
      <c r="E6" s="4">
        <v>95</v>
      </c>
      <c r="F6" s="4">
        <v>0</v>
      </c>
      <c r="G6" s="7" t="s">
        <v>44</v>
      </c>
    </row>
    <row r="7" spans="1:7" x14ac:dyDescent="0.25">
      <c r="A7" s="2" t="s">
        <v>45</v>
      </c>
      <c r="B7" s="2" t="s">
        <v>42</v>
      </c>
      <c r="C7" s="2" t="s">
        <v>19</v>
      </c>
      <c r="D7" s="2" t="s">
        <v>46</v>
      </c>
      <c r="E7" s="3">
        <v>40</v>
      </c>
      <c r="F7" s="3">
        <v>0</v>
      </c>
      <c r="G7" s="2" t="s">
        <v>47</v>
      </c>
    </row>
    <row r="8" spans="1:7" x14ac:dyDescent="0.25">
      <c r="A8" s="7" t="s">
        <v>48</v>
      </c>
      <c r="B8" s="7" t="s">
        <v>49</v>
      </c>
      <c r="C8" s="7" t="s">
        <v>29</v>
      </c>
      <c r="D8" s="7" t="s">
        <v>50</v>
      </c>
      <c r="E8" s="4">
        <v>60</v>
      </c>
      <c r="F8" s="4">
        <v>55</v>
      </c>
      <c r="G8" s="7" t="s">
        <v>51</v>
      </c>
    </row>
    <row r="9" spans="1:7" x14ac:dyDescent="0.25">
      <c r="A9" s="2" t="s">
        <v>81</v>
      </c>
      <c r="B9" s="2" t="s">
        <v>42</v>
      </c>
      <c r="C9" s="2" t="s">
        <v>19</v>
      </c>
      <c r="D9" s="2" t="s">
        <v>52</v>
      </c>
      <c r="E9" s="3">
        <v>65</v>
      </c>
      <c r="F9" s="3">
        <v>75</v>
      </c>
      <c r="G9" s="2" t="s">
        <v>53</v>
      </c>
    </row>
    <row r="10" spans="1:7" x14ac:dyDescent="0.25">
      <c r="A10" s="7" t="s">
        <v>54</v>
      </c>
      <c r="B10" s="7" t="s">
        <v>55</v>
      </c>
      <c r="C10" s="7" t="s">
        <v>19</v>
      </c>
      <c r="D10" s="7" t="s">
        <v>56</v>
      </c>
      <c r="E10" s="4">
        <v>0</v>
      </c>
      <c r="F10" s="4">
        <v>280</v>
      </c>
      <c r="G10" s="7" t="s">
        <v>57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tabSelected="1" zoomScaleNormal="100" workbookViewId="0">
      <pane ySplit="4" topLeftCell="A5" activePane="bottomLeft" state="frozen"/>
      <selection pane="bottomLeft" activeCell="A3" sqref="A3"/>
    </sheetView>
  </sheetViews>
  <sheetFormatPr defaultColWidth="8.7109375" defaultRowHeight="15" x14ac:dyDescent="0.25"/>
  <cols>
    <col min="1" max="1" width="34" customWidth="1"/>
    <col min="2" max="2" width="26" customWidth="1"/>
    <col min="3" max="3" width="20" customWidth="1"/>
    <col min="4" max="6" width="16" customWidth="1"/>
    <col min="7" max="7" width="44" customWidth="1"/>
  </cols>
  <sheetData>
    <row r="1" spans="1:7" ht="18" x14ac:dyDescent="0.25">
      <c r="A1" s="8" t="s">
        <v>82</v>
      </c>
      <c r="B1" s="8"/>
      <c r="C1" s="8"/>
      <c r="D1" s="8"/>
      <c r="E1" s="8"/>
      <c r="F1" s="8"/>
      <c r="G1" s="8"/>
    </row>
    <row r="2" spans="1:7" x14ac:dyDescent="0.25">
      <c r="A2" s="9" t="s">
        <v>83</v>
      </c>
      <c r="B2" s="9"/>
      <c r="C2" s="9"/>
      <c r="D2" s="9"/>
      <c r="E2" s="9"/>
      <c r="F2" s="9"/>
      <c r="G2" s="9"/>
    </row>
    <row r="3" spans="1:7" x14ac:dyDescent="0.25">
      <c r="A3" s="10" t="s">
        <v>88</v>
      </c>
    </row>
    <row r="4" spans="1:7" ht="25.5" x14ac:dyDescent="0.25">
      <c r="A4" s="1" t="s">
        <v>12</v>
      </c>
      <c r="B4" s="1" t="s">
        <v>37</v>
      </c>
      <c r="C4" s="1" t="s">
        <v>14</v>
      </c>
      <c r="D4" s="1" t="s">
        <v>15</v>
      </c>
      <c r="E4" s="1" t="s">
        <v>3</v>
      </c>
      <c r="F4" s="1" t="s">
        <v>4</v>
      </c>
      <c r="G4" s="1" t="s">
        <v>16</v>
      </c>
    </row>
    <row r="5" spans="1:7" x14ac:dyDescent="0.25">
      <c r="A5" s="2" t="s">
        <v>84</v>
      </c>
      <c r="B5" s="2" t="s">
        <v>58</v>
      </c>
      <c r="C5" s="2" t="s">
        <v>19</v>
      </c>
      <c r="D5" s="2" t="s">
        <v>59</v>
      </c>
      <c r="E5" s="3">
        <v>210</v>
      </c>
      <c r="F5" s="3">
        <v>0</v>
      </c>
      <c r="G5" s="2" t="s">
        <v>60</v>
      </c>
    </row>
    <row r="6" spans="1:7" x14ac:dyDescent="0.25">
      <c r="A6" s="7" t="s">
        <v>61</v>
      </c>
      <c r="B6" s="7" t="s">
        <v>62</v>
      </c>
      <c r="C6" s="7" t="s">
        <v>19</v>
      </c>
      <c r="D6" s="7" t="s">
        <v>63</v>
      </c>
      <c r="E6" s="4">
        <v>85</v>
      </c>
      <c r="F6" s="4">
        <v>90</v>
      </c>
      <c r="G6" s="7" t="s">
        <v>64</v>
      </c>
    </row>
    <row r="7" spans="1:7" x14ac:dyDescent="0.25">
      <c r="A7" s="2" t="s">
        <v>85</v>
      </c>
      <c r="B7" s="2" t="s">
        <v>49</v>
      </c>
      <c r="C7" s="2" t="s">
        <v>29</v>
      </c>
      <c r="D7" s="2" t="s">
        <v>65</v>
      </c>
      <c r="E7" s="3">
        <v>180</v>
      </c>
      <c r="F7" s="3">
        <v>60</v>
      </c>
      <c r="G7" s="2" t="s">
        <v>27</v>
      </c>
    </row>
    <row r="8" spans="1:7" x14ac:dyDescent="0.25">
      <c r="A8" s="7" t="s">
        <v>86</v>
      </c>
      <c r="B8" s="7" t="s">
        <v>62</v>
      </c>
      <c r="C8" s="7" t="s">
        <v>19</v>
      </c>
      <c r="D8" s="7" t="s">
        <v>66</v>
      </c>
      <c r="E8" s="4">
        <v>45</v>
      </c>
      <c r="F8" s="4">
        <v>0</v>
      </c>
      <c r="G8" s="7" t="s">
        <v>67</v>
      </c>
    </row>
    <row r="9" spans="1:7" x14ac:dyDescent="0.25">
      <c r="A9" s="2" t="s">
        <v>87</v>
      </c>
      <c r="B9" s="2" t="s">
        <v>62</v>
      </c>
      <c r="C9" s="2" t="s">
        <v>68</v>
      </c>
      <c r="D9" s="2" t="s">
        <v>27</v>
      </c>
      <c r="E9" s="3">
        <v>90</v>
      </c>
      <c r="F9" s="3">
        <v>190</v>
      </c>
      <c r="G9" s="2" t="s">
        <v>69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Network</vt:lpstr>
      <vt:lpstr>IT &amp; Systems</vt:lpstr>
      <vt:lpstr>Property &amp; 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</cp:lastModifiedBy>
  <cp:revision>1</cp:revision>
  <dcterms:created xsi:type="dcterms:W3CDTF">2026-08-21T22:08:01Z</dcterms:created>
  <dcterms:modified xsi:type="dcterms:W3CDTF">2026-08-24T19:02:30Z</dcterms:modified>
  <dc:language>en-US</dc:language>
</cp:coreProperties>
</file>